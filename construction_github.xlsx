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8. GIthub Porfolio\Bookkeeping\"/>
    </mc:Choice>
  </mc:AlternateContent>
  <xr:revisionPtr revIDLastSave="0" documentId="13_ncr:1_{128D29B8-5DFF-4B40-8F9E-07D84496ADD1}" xr6:coauthVersionLast="47" xr6:coauthVersionMax="47" xr10:uidLastSave="{00000000-0000-0000-0000-000000000000}"/>
  <bookViews>
    <workbookView xWindow="-110" yWindow="-110" windowWidth="19420" windowHeight="10300" firstSheet="1" activeTab="2" xr2:uid="{3A3CB4C9-F5A8-4036-8770-AE856C4FF66C}"/>
  </bookViews>
  <sheets>
    <sheet name="Bank_Statatement" sheetId="2" r:id="rId1"/>
    <sheet name="Ledger" sheetId="10" r:id="rId2"/>
    <sheet name="Journal Entries" sheetId="9" r:id="rId3"/>
    <sheet name="Receivable_Reconcile" sheetId="5" r:id="rId4"/>
    <sheet name="Payable_Reconcile" sheetId="6" r:id="rId5"/>
    <sheet name="Chart Of Accounts" sheetId="8" r:id="rId6"/>
    <sheet name="Recievable" sheetId="4" r:id="rId7"/>
    <sheet name="Payable" sheetId="3" r:id="rId8"/>
  </sheets>
  <definedNames>
    <definedName name="ExternalData_1" localSheetId="0" hidden="1">Bank_Statatement!$A$1:$E$14</definedName>
    <definedName name="ExternalData_2" localSheetId="7" hidden="1">Payable!$A$1:$H$9</definedName>
    <definedName name="ExternalData_2" localSheetId="3" hidden="1">Receivable_Reconcile!$A$1:$I$7</definedName>
    <definedName name="ExternalData_3" localSheetId="4" hidden="1">Payable_Reconcile!$A$1:$I$7</definedName>
    <definedName name="ExternalData_3" localSheetId="6" hidden="1">Recievable!$A$1:$H$9</definedName>
    <definedName name="Slicer_Account">#N/A</definedName>
    <definedName name="Slicer_Month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3" i="9" l="1"/>
  <c r="G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3" i="9"/>
  <c r="B4" i="9"/>
  <c r="B5" i="9"/>
  <c r="B6" i="9"/>
  <c r="B7" i="9"/>
  <c r="B8" i="9"/>
  <c r="B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E4A8DF-B100-41E6-B3A5-53A83391101F}" keepAlive="1" name="Query - Bank_Payable_Reconcile" description="Connection to the 'Bank_Payable_Reconcile' query in the workbook." type="5" refreshedVersion="8" background="1" saveData="1">
    <dbPr connection="Provider=Microsoft.Mashup.OleDb.1;Data Source=$Workbook$;Location=Bank_Payable_Reconcile;Extended Properties=&quot;&quot;" command="SELECT * FROM [Bank_Payable_Reconcile]"/>
  </connection>
  <connection id="2" xr16:uid="{DEC58906-3FA9-4FB6-8490-10CA72F21EA7}" keepAlive="1" name="Query - Bank_Receivable_Reconcile" description="Connection to the 'Bank_Receivable_Reconcile' query in the workbook." type="5" refreshedVersion="8" background="1" saveData="1">
    <dbPr connection="Provider=Microsoft.Mashup.OleDb.1;Data Source=$Workbook$;Location=Bank_Receivable_Reconcile;Extended Properties=&quot;&quot;" command="SELECT * FROM [Bank_Receivable_Reconcile]"/>
  </connection>
  <connection id="3" xr16:uid="{18CBEBA0-3A6E-4209-9037-0E59C98A675F}" keepAlive="1" name="Query - bank_statatement" description="Connection to the 'bank_statatement' query in the workbook." type="5" refreshedVersion="8" background="1" saveData="1">
    <dbPr connection="Provider=Microsoft.Mashup.OleDb.1;Data Source=$Workbook$;Location=bank_statatement;Extended Properties=&quot;&quot;" command="SELECT * FROM [bank_statatement]"/>
  </connection>
  <connection id="4" xr16:uid="{D2337B04-3468-40B3-9853-5FBA802A7240}" keepAlive="1" name="Query - Payable" description="Connection to the 'Payable' query in the workbook." type="5" refreshedVersion="8" background="1" saveData="1">
    <dbPr connection="Provider=Microsoft.Mashup.OleDb.1;Data Source=$Workbook$;Location=Payable;Extended Properties=&quot;&quot;" command="SELECT * FROM [Payable]"/>
  </connection>
  <connection id="5" xr16:uid="{79379234-C5F6-4CEC-8ED5-83378B4A4236}" keepAlive="1" name="Query - Receivable" description="Connection to the 'Receivable' query in the workbook." type="5" refreshedVersion="8" background="1" saveData="1">
    <dbPr connection="Provider=Microsoft.Mashup.OleDb.1;Data Source=$Workbook$;Location=Receivable;Extended Properties=&quot;&quot;" command="SELECT * FROM [Receivable]"/>
  </connection>
</connections>
</file>

<file path=xl/sharedStrings.xml><?xml version="1.0" encoding="utf-8"?>
<sst xmlns="http://schemas.openxmlformats.org/spreadsheetml/2006/main" count="415" uniqueCount="158">
  <si>
    <t>Date</t>
  </si>
  <si>
    <t>Description</t>
  </si>
  <si>
    <t>Amount</t>
  </si>
  <si>
    <t>InvoiceID</t>
  </si>
  <si>
    <t>InvoiceDate</t>
  </si>
  <si>
    <t>Vendor</t>
  </si>
  <si>
    <t>ExpenseType</t>
  </si>
  <si>
    <t>Status</t>
  </si>
  <si>
    <t>AP-2001</t>
  </si>
  <si>
    <t>AP-2002</t>
  </si>
  <si>
    <t>AP-2003</t>
  </si>
  <si>
    <t>AP-2004</t>
  </si>
  <si>
    <t>AP-2005</t>
  </si>
  <si>
    <t>AP-2006</t>
  </si>
  <si>
    <t>AP-2007</t>
  </si>
  <si>
    <t>AP-2008</t>
  </si>
  <si>
    <t>Customer</t>
  </si>
  <si>
    <t>ProjectType</t>
  </si>
  <si>
    <t>AR-1001</t>
  </si>
  <si>
    <t>AR-1002</t>
  </si>
  <si>
    <t>AR-1003</t>
  </si>
  <si>
    <t>AR-1004</t>
  </si>
  <si>
    <t>AR-1005</t>
  </si>
  <si>
    <t>AR-1006</t>
  </si>
  <si>
    <t>AR-1007</t>
  </si>
  <si>
    <t>AR-1008</t>
  </si>
  <si>
    <t>Transaction Type</t>
  </si>
  <si>
    <t>Source</t>
  </si>
  <si>
    <t>opening balance</t>
  </si>
  <si>
    <t>income</t>
  </si>
  <si>
    <t>north lumber supply</t>
  </si>
  <si>
    <t>expense</t>
  </si>
  <si>
    <t>city equipment rentals</t>
  </si>
  <si>
    <t>metro concrete co</t>
  </si>
  <si>
    <t>reliable subcontractors</t>
  </si>
  <si>
    <t>plumbpro supplies</t>
  </si>
  <si>
    <t>volt electrical supply</t>
  </si>
  <si>
    <t>materials</t>
  </si>
  <si>
    <t>paid</t>
  </si>
  <si>
    <t>ap</t>
  </si>
  <si>
    <t>equipment</t>
  </si>
  <si>
    <t>labor</t>
  </si>
  <si>
    <t>heavy machinery co</t>
  </si>
  <si>
    <t>open</t>
  </si>
  <si>
    <t>steel frame suppliers</t>
  </si>
  <si>
    <t>source</t>
  </si>
  <si>
    <t>smith residence</t>
  </si>
  <si>
    <t>home addition</t>
  </si>
  <si>
    <t>ar</t>
  </si>
  <si>
    <t>johnson family</t>
  </si>
  <si>
    <t>bathroom remodel</t>
  </si>
  <si>
    <t>lee property</t>
  </si>
  <si>
    <t>kitchen upgrade</t>
  </si>
  <si>
    <t>davis home</t>
  </si>
  <si>
    <t>roof repair</t>
  </si>
  <si>
    <t>wilson house</t>
  </si>
  <si>
    <t>deck construction</t>
  </si>
  <si>
    <t>martinez residence</t>
  </si>
  <si>
    <t>garage build</t>
  </si>
  <si>
    <t>brown property</t>
  </si>
  <si>
    <t>fence installation</t>
  </si>
  <si>
    <t>garcia home</t>
  </si>
  <si>
    <t>driveway work</t>
  </si>
  <si>
    <t>Month</t>
  </si>
  <si>
    <t>Jan</t>
  </si>
  <si>
    <t>Feb</t>
  </si>
  <si>
    <t>Mar</t>
  </si>
  <si>
    <t>Receivable.InvoiceDate</t>
  </si>
  <si>
    <t>Receivable.Customer</t>
  </si>
  <si>
    <t>Receivable.Amount</t>
  </si>
  <si>
    <t>Days_To_Payment</t>
  </si>
  <si>
    <t>Payable.InvoiceDate</t>
  </si>
  <si>
    <t>Payable.Vendor</t>
  </si>
  <si>
    <t>Payable.Amount</t>
  </si>
  <si>
    <t>Asset</t>
  </si>
  <si>
    <t>Equity</t>
  </si>
  <si>
    <t>Revenue</t>
  </si>
  <si>
    <t>Expense</t>
  </si>
  <si>
    <t>Account</t>
  </si>
  <si>
    <t>Code</t>
  </si>
  <si>
    <t>Chart Of Accounts</t>
  </si>
  <si>
    <t>Liabilities</t>
  </si>
  <si>
    <t>Category</t>
  </si>
  <si>
    <t>Cash</t>
  </si>
  <si>
    <t>Accounts Payable</t>
  </si>
  <si>
    <t>Owner Equity</t>
  </si>
  <si>
    <t>Service Revenue</t>
  </si>
  <si>
    <t>Labor Expense</t>
  </si>
  <si>
    <t>Equipment Expense</t>
  </si>
  <si>
    <t>Materials Expense</t>
  </si>
  <si>
    <t>Sub-Category</t>
  </si>
  <si>
    <t>Journal Entries</t>
  </si>
  <si>
    <t>Debit</t>
  </si>
  <si>
    <t>Credit</t>
  </si>
  <si>
    <t>Opening Balance</t>
  </si>
  <si>
    <t>OB</t>
  </si>
  <si>
    <t>Smith Residence</t>
  </si>
  <si>
    <t>Smith Residence Home Addition</t>
  </si>
  <si>
    <t>JE#</t>
  </si>
  <si>
    <t>Accounts Receivable</t>
  </si>
  <si>
    <t>Account Code</t>
  </si>
  <si>
    <t>North Star Lumber Supply</t>
  </si>
  <si>
    <t>Lumber Supply</t>
  </si>
  <si>
    <t>Smith Residence Payment</t>
  </si>
  <si>
    <t>Johnson Family</t>
  </si>
  <si>
    <t>Johnson Family Bathroom Remodel</t>
  </si>
  <si>
    <t>Johnson Family Payment</t>
  </si>
  <si>
    <t>City Equipment Rentals</t>
  </si>
  <si>
    <t>Equipment Rentals</t>
  </si>
  <si>
    <t>Payment To City Equipment Rentals</t>
  </si>
  <si>
    <t>Payment To North Star Lumber Supply</t>
  </si>
  <si>
    <t>Lee Property</t>
  </si>
  <si>
    <t>Lee Property Kitchen Upgrade</t>
  </si>
  <si>
    <t>Metro Concrete Co</t>
  </si>
  <si>
    <t>Metro Concrete Co Materials</t>
  </si>
  <si>
    <t>Lee Property Payment</t>
  </si>
  <si>
    <t>Davis Home</t>
  </si>
  <si>
    <t>Davis Home Roof Repair</t>
  </si>
  <si>
    <t>Davis Home Payment</t>
  </si>
  <si>
    <t>Reliable Subcontractors</t>
  </si>
  <si>
    <t>Reliable Subcontractors Labor</t>
  </si>
  <si>
    <t>Payment to Reliable Subcontractors</t>
  </si>
  <si>
    <t>Wilson House</t>
  </si>
  <si>
    <t>Wilson House Deck Construction</t>
  </si>
  <si>
    <t>Plumbro Supplies</t>
  </si>
  <si>
    <t>Plumbro Supplies Materials</t>
  </si>
  <si>
    <t>Payment to Plumbro Supplies</t>
  </si>
  <si>
    <t>Plubro Supplies</t>
  </si>
  <si>
    <t>Martinez Residence</t>
  </si>
  <si>
    <t>Martinez Residence Garage Build</t>
  </si>
  <si>
    <t>Volt Electrical Supply</t>
  </si>
  <si>
    <t>Volt Electrical Supply Materials</t>
  </si>
  <si>
    <t>Payment From Martinez Residence</t>
  </si>
  <si>
    <t>Payment to Volt Electrical Supply</t>
  </si>
  <si>
    <t>Total</t>
  </si>
  <si>
    <t>Grand Total</t>
  </si>
  <si>
    <t>1-Jan</t>
  </si>
  <si>
    <t>3-Jan</t>
  </si>
  <si>
    <t>5-Jan</t>
  </si>
  <si>
    <t>7-Jan</t>
  </si>
  <si>
    <t>10-Jan</t>
  </si>
  <si>
    <t>18-Jan</t>
  </si>
  <si>
    <t>22-Jan</t>
  </si>
  <si>
    <t>25-Jan</t>
  </si>
  <si>
    <t>Sum of Debit</t>
  </si>
  <si>
    <t>Sum of Credit</t>
  </si>
  <si>
    <t>Months (Date)</t>
  </si>
  <si>
    <t>Days (Date)</t>
  </si>
  <si>
    <t>Accounts Payable Total</t>
  </si>
  <si>
    <t>Accounts Receivable Total</t>
  </si>
  <si>
    <t>Cash Total</t>
  </si>
  <si>
    <t>Equipment Expense Total</t>
  </si>
  <si>
    <t>Labor Expense Total</t>
  </si>
  <si>
    <t>Materials Expense Total</t>
  </si>
  <si>
    <t>Owner Equity Total</t>
  </si>
  <si>
    <t>Service Revenue Total</t>
  </si>
  <si>
    <t>Sum of Balance</t>
  </si>
  <si>
    <t>FS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</si>
</sst>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x14ac:knownFonts="1">
    <font>
      <sz val="11"/>
      <color theme="1"/>
      <name val="Aptos Narrow"/>
      <family val="2"/>
      <scheme val="minor"/>
    </font>
    <font>
      <sz val="8"/>
      <name val="Aptos Narrow"/>
      <family val="2"/>
      <scheme val="minor"/>
    </font>
    <font>
      <b/>
      <sz val="11"/>
      <color theme="1"/>
      <name val="Aptos Narrow"/>
      <family val="2"/>
      <scheme val="minor"/>
    </font>
    <font>
      <sz val="16"/>
      <color theme="1"/>
      <name val="Aptos Narrow"/>
      <family val="2"/>
      <scheme val="minor"/>
    </font>
    <font>
      <sz val="28"/>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9" tint="0.79998168889431442"/>
        <bgColor indexed="64"/>
      </patternFill>
    </fill>
  </fills>
  <borders count="3">
    <border>
      <left/>
      <right/>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xf numFmtId="0" fontId="2" fillId="0" borderId="0" xfId="0" applyFont="1" applyAlignment="1">
      <alignment horizontal="center"/>
    </xf>
    <xf numFmtId="14" fontId="2" fillId="0" borderId="0" xfId="0" applyNumberFormat="1" applyFont="1" applyAlignment="1">
      <alignment horizontal="center"/>
    </xf>
    <xf numFmtId="8" fontId="0" fillId="0" borderId="0" xfId="0" applyNumberFormat="1"/>
    <xf numFmtId="8" fontId="2" fillId="0" borderId="0" xfId="0" applyNumberFormat="1" applyFont="1" applyAlignment="1">
      <alignment horizontal="center"/>
    </xf>
    <xf numFmtId="0" fontId="0" fillId="3" borderId="0" xfId="0" applyFill="1"/>
    <xf numFmtId="8" fontId="0" fillId="3" borderId="0" xfId="0" applyNumberFormat="1" applyFill="1"/>
    <xf numFmtId="0" fontId="0" fillId="4" borderId="0" xfId="0" applyFill="1"/>
    <xf numFmtId="14" fontId="4" fillId="0" borderId="0" xfId="0" applyNumberFormat="1" applyFont="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cellXfs>
  <cellStyles count="1">
    <cellStyle name="Normal" xfId="0" builtinId="0"/>
  </cellStyles>
  <dxfs count="79">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19" formatCode="m/d/yyyy"/>
    </dxf>
    <dxf>
      <numFmt numFmtId="12" formatCode="&quot;$&quot;#,##0.00_);[Red]\(&quot;$&quot;#,##0.00\)"/>
    </dxf>
    <dxf>
      <numFmt numFmtId="12" formatCode="&quot;$&quot;#,##0.00_);[Red]\(&quot;$&quot;#,##0.00\)"/>
    </dxf>
    <dxf>
      <numFmt numFmtId="12" formatCode="&quot;$&quot;#,##0.00_);[Red]\(&quot;$&quot;#,##0.00\)"/>
    </dxf>
    <dxf>
      <numFmt numFmtId="12" formatCode="&quot;$&quot;#,##0.00_);[Red]\(&quot;$&quot;#,##0.00\)"/>
    </dxf>
    <dxf>
      <numFmt numFmtId="0" formatCode="General"/>
    </dxf>
    <dxf>
      <numFmt numFmtId="19" formatCode="m/d/yyyy"/>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3" tint="0.89999084444715716"/>
        </patternFill>
      </fill>
    </dxf>
    <dxf>
      <numFmt numFmtId="12" formatCode="&quot;$&quot;#,##0.00_);[Red]\(&quot;$&quot;#,##0.00\)"/>
    </dxf>
    <dxf>
      <numFmt numFmtId="12" formatCode="&quot;$&quot;#,##0.00_);[Red]\(&quot;$&quot;#,##0.00\)"/>
    </dxf>
    <dxf>
      <numFmt numFmtId="12" formatCode="&quot;$&quot;#,##0.00_);[Red]\(&quot;$&quot;#,##0.00\)"/>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theme="3" tint="0.89999084444715716"/>
        </patternFill>
      </fill>
    </dxf>
    <dxf>
      <fill>
        <patternFill>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749992370372631"/>
        </patternFill>
      </fill>
    </dxf>
    <dxf>
      <fill>
        <patternFill patternType="solid">
          <bgColor theme="3"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67236</xdr:colOff>
      <xdr:row>10</xdr:row>
      <xdr:rowOff>75827</xdr:rowOff>
    </xdr:from>
    <xdr:to>
      <xdr:col>12</xdr:col>
      <xdr:colOff>58271</xdr:colOff>
      <xdr:row>24</xdr:row>
      <xdr:rowOff>104588</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EDE5D541-3FA5-32CF-9846-447796399F01}"/>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8755530" y="1943474"/>
              <a:ext cx="1828800" cy="264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80310</xdr:colOff>
      <xdr:row>2</xdr:row>
      <xdr:rowOff>186019</xdr:rowOff>
    </xdr:from>
    <xdr:to>
      <xdr:col>12</xdr:col>
      <xdr:colOff>71345</xdr:colOff>
      <xdr:row>9</xdr:row>
      <xdr:rowOff>74707</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68D04EE0-9DEF-396C-D370-0B0345DC03C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768604" y="559548"/>
              <a:ext cx="1828800" cy="1196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water" refreshedDate="46149.293332291665" createdVersion="8" refreshedVersion="8" minRefreshableVersion="3" recordCount="50" xr:uid="{9D6DDA3A-82FA-4F47-BD93-14253B98C0BD}">
  <cacheSource type="worksheet">
    <worksheetSource name="Journal_Entries"/>
  </cacheSource>
  <cacheFields count="10">
    <cacheField name="Date" numFmtId="14">
      <sharedItems containsSemiMixedTypes="0" containsNonDate="0" containsDate="1" containsString="0" minDate="2026-01-01T00:00:00" maxDate="2026-03-30T00:00:00" count="24">
        <d v="2026-01-01T00:00:00"/>
        <d v="2026-01-03T00:00:00"/>
        <d v="2026-01-05T00:00:00"/>
        <d v="2026-01-07T00:00:00"/>
        <d v="2026-01-10T00:00:00"/>
        <d v="2026-01-18T00:00:00"/>
        <d v="2026-01-22T00:00:00"/>
        <d v="2026-01-25T00:00:00"/>
        <d v="2026-02-04T00:00:00"/>
        <d v="2026-02-06T00:00:00"/>
        <d v="2026-02-07T00:00:00"/>
        <d v="2026-02-10T00:00:00"/>
        <d v="2026-02-20T00:00:00"/>
        <d v="2026-02-23T00:00:00"/>
        <d v="2026-02-25T00:00:00"/>
        <d v="2026-02-26T00:00:00"/>
        <d v="2026-03-05T00:00:00"/>
        <d v="2026-03-08T00:00:00"/>
        <d v="2026-03-10T00:00:00"/>
        <d v="2026-03-12T00:00:00"/>
        <d v="2026-03-22T00:00:00"/>
        <d v="2026-03-25T00:00:00"/>
        <d v="2026-03-27T00:00:00"/>
        <d v="2026-03-29T00:00:00"/>
      </sharedItems>
      <fieldGroup par="8"/>
    </cacheField>
    <cacheField name="Account Code" numFmtId="0">
      <sharedItems containsSemiMixedTypes="0" containsString="0" containsNumber="1" containsInteger="1" minValue="1000" maxValue="5200" count="8">
        <n v="1000"/>
        <n v="3000"/>
        <n v="1100"/>
        <n v="4000"/>
        <n v="2000"/>
        <n v="5000"/>
        <n v="5200"/>
        <n v="5100"/>
      </sharedItems>
    </cacheField>
    <cacheField name="Account" numFmtId="0">
      <sharedItems count="8">
        <s v="Cash"/>
        <s v="Owner Equity"/>
        <s v="Accounts Receivable"/>
        <s v="Service Revenue"/>
        <s v="Accounts Payable"/>
        <s v="Materials Expense"/>
        <s v="Equipment Expense"/>
        <s v="Labor Expense"/>
      </sharedItems>
    </cacheField>
    <cacheField name="Description" numFmtId="0">
      <sharedItems count="36">
        <s v="Opening Balance"/>
        <s v="Smith Residence"/>
        <s v="Smith Residence Home Addition"/>
        <s v="North Star Lumber Supply"/>
        <s v="Lumber Supply"/>
        <s v="Smith Residence Payment"/>
        <s v="Payment To North Star Lumber Supply"/>
        <s v="Johnson Family"/>
        <s v="Johnson Family Bathroom Remodel"/>
        <s v="Johnson Family Payment"/>
        <s v="City Equipment Rentals"/>
        <s v="Equipment Rentals"/>
        <s v="Payment To City Equipment Rentals"/>
        <s v="Lee Property"/>
        <s v="Lee Property Kitchen Upgrade"/>
        <s v="Metro Concrete Co"/>
        <s v="Metro Concrete Co Materials"/>
        <s v="Lee Property Payment"/>
        <s v="Davis Home"/>
        <s v="Davis Home Roof Repair"/>
        <s v="Davis Home Payment"/>
        <s v="Reliable Subcontractors"/>
        <s v="Reliable Subcontractors Labor"/>
        <s v="Payment to Reliable Subcontractors"/>
        <s v="Wilson House"/>
        <s v="Wilson House Deck Construction"/>
        <s v="Plumbro Supplies"/>
        <s v="Plumbro Supplies Materials"/>
        <s v="Payment to Plumbro Supplies"/>
        <s v="Plubro Supplies"/>
        <s v="Martinez Residence"/>
        <s v="Martinez Residence Garage Build"/>
        <s v="Volt Electrical Supply"/>
        <s v="Volt Electrical Supply Materials"/>
        <s v="Payment From Martinez Residence"/>
        <s v="Payment to Volt Electrical Supply"/>
      </sharedItems>
    </cacheField>
    <cacheField name="JE#" numFmtId="0">
      <sharedItems containsMixedTypes="1" containsNumber="1" containsInteger="1" minValue="1" maxValue="24"/>
    </cacheField>
    <cacheField name="Debit" numFmtId="8">
      <sharedItems containsString="0" containsBlank="1" containsNumber="1" minValue="95.25" maxValue="520"/>
    </cacheField>
    <cacheField name="Credit" numFmtId="8">
      <sharedItems containsString="0" containsBlank="1" containsNumber="1" minValue="95.25" maxValue="520"/>
    </cacheField>
    <cacheField name="Days (Date)" numFmtId="0" databaseField="0">
      <fieldGroup base="0">
        <rangePr groupBy="days" startDate="2026-01-01T00:00:00" endDate="2026-03-30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6"/>
        </groupItems>
      </fieldGroup>
    </cacheField>
    <cacheField name="Months (Date)" numFmtId="0" databaseField="0">
      <fieldGroup base="0">
        <rangePr groupBy="months" startDate="2026-01-01T00:00:00" endDate="2026-03-30T00:00:00"/>
        <groupItems count="14">
          <s v="&lt;1/1/2026"/>
          <s v="Jan"/>
          <s v="Feb"/>
          <s v="Mar"/>
          <s v="Apr"/>
          <s v="May"/>
          <s v="Jun"/>
          <s v="Jul"/>
          <s v="Aug"/>
          <s v="Sep"/>
          <s v="Oct"/>
          <s v="Nov"/>
          <s v="Dec"/>
          <s v="&gt;3/30/2026"/>
        </groupItems>
      </fieldGroup>
    </cacheField>
    <cacheField name="Balance" numFmtId="0" formula="Debit-Credit" databaseField="0"/>
  </cacheFields>
  <extLst>
    <ext xmlns:x14="http://schemas.microsoft.com/office/spreadsheetml/2009/9/main" uri="{725AE2AE-9491-48be-B2B4-4EB974FC3084}">
      <x14:pivotCacheDefinition pivotCacheId="1397498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s v="OB"/>
    <n v="520"/>
    <m/>
  </r>
  <r>
    <x v="0"/>
    <x v="1"/>
    <x v="1"/>
    <x v="0"/>
    <s v="OB"/>
    <m/>
    <n v="520"/>
  </r>
  <r>
    <x v="1"/>
    <x v="2"/>
    <x v="2"/>
    <x v="1"/>
    <n v="1"/>
    <n v="185"/>
    <m/>
  </r>
  <r>
    <x v="1"/>
    <x v="3"/>
    <x v="3"/>
    <x v="2"/>
    <n v="1"/>
    <m/>
    <n v="185"/>
  </r>
  <r>
    <x v="2"/>
    <x v="4"/>
    <x v="4"/>
    <x v="3"/>
    <n v="2"/>
    <m/>
    <n v="118.5"/>
  </r>
  <r>
    <x v="2"/>
    <x v="5"/>
    <x v="5"/>
    <x v="4"/>
    <n v="2"/>
    <n v="118.5"/>
    <m/>
  </r>
  <r>
    <x v="3"/>
    <x v="0"/>
    <x v="0"/>
    <x v="5"/>
    <n v="3"/>
    <n v="185"/>
    <m/>
  </r>
  <r>
    <x v="3"/>
    <x v="2"/>
    <x v="2"/>
    <x v="1"/>
    <n v="3"/>
    <m/>
    <n v="185"/>
  </r>
  <r>
    <x v="4"/>
    <x v="0"/>
    <x v="0"/>
    <x v="6"/>
    <n v="4"/>
    <m/>
    <n v="118.5"/>
  </r>
  <r>
    <x v="4"/>
    <x v="4"/>
    <x v="4"/>
    <x v="3"/>
    <n v="4"/>
    <n v="118.5"/>
    <m/>
  </r>
  <r>
    <x v="5"/>
    <x v="2"/>
    <x v="2"/>
    <x v="7"/>
    <n v="5"/>
    <n v="210.75"/>
    <m/>
  </r>
  <r>
    <x v="5"/>
    <x v="3"/>
    <x v="3"/>
    <x v="8"/>
    <n v="5"/>
    <m/>
    <n v="210.75"/>
  </r>
  <r>
    <x v="6"/>
    <x v="0"/>
    <x v="0"/>
    <x v="9"/>
    <n v="6"/>
    <n v="210.75"/>
    <m/>
  </r>
  <r>
    <x v="6"/>
    <x v="2"/>
    <x v="2"/>
    <x v="7"/>
    <n v="6"/>
    <m/>
    <n v="210.75"/>
  </r>
  <r>
    <x v="6"/>
    <x v="4"/>
    <x v="4"/>
    <x v="10"/>
    <n v="7"/>
    <m/>
    <n v="95.25"/>
  </r>
  <r>
    <x v="6"/>
    <x v="6"/>
    <x v="6"/>
    <x v="11"/>
    <n v="7"/>
    <n v="95.25"/>
    <m/>
  </r>
  <r>
    <x v="7"/>
    <x v="0"/>
    <x v="0"/>
    <x v="12"/>
    <n v="8"/>
    <m/>
    <n v="95.25"/>
  </r>
  <r>
    <x v="7"/>
    <x v="4"/>
    <x v="4"/>
    <x v="10"/>
    <n v="8"/>
    <n v="95.25"/>
    <m/>
  </r>
  <r>
    <x v="8"/>
    <x v="2"/>
    <x v="2"/>
    <x v="13"/>
    <n v="9"/>
    <n v="240"/>
    <m/>
  </r>
  <r>
    <x v="8"/>
    <x v="3"/>
    <x v="3"/>
    <x v="14"/>
    <n v="9"/>
    <m/>
    <n v="240"/>
  </r>
  <r>
    <x v="9"/>
    <x v="4"/>
    <x v="4"/>
    <x v="15"/>
    <n v="10"/>
    <m/>
    <n v="142.80000000000001"/>
  </r>
  <r>
    <x v="9"/>
    <x v="5"/>
    <x v="5"/>
    <x v="16"/>
    <n v="10"/>
    <n v="142.80000000000001"/>
    <m/>
  </r>
  <r>
    <x v="10"/>
    <x v="0"/>
    <x v="0"/>
    <x v="17"/>
    <n v="11"/>
    <n v="240"/>
    <m/>
  </r>
  <r>
    <x v="10"/>
    <x v="2"/>
    <x v="2"/>
    <x v="13"/>
    <n v="11"/>
    <m/>
    <n v="240"/>
  </r>
  <r>
    <x v="11"/>
    <x v="0"/>
    <x v="0"/>
    <x v="12"/>
    <n v="12"/>
    <m/>
    <n v="142.80000000000001"/>
  </r>
  <r>
    <x v="11"/>
    <x v="4"/>
    <x v="4"/>
    <x v="15"/>
    <n v="12"/>
    <n v="142.80000000000001"/>
    <m/>
  </r>
  <r>
    <x v="12"/>
    <x v="2"/>
    <x v="2"/>
    <x v="18"/>
    <n v="13"/>
    <n v="165.5"/>
    <m/>
  </r>
  <r>
    <x v="12"/>
    <x v="3"/>
    <x v="3"/>
    <x v="19"/>
    <n v="13"/>
    <m/>
    <n v="165.5"/>
  </r>
  <r>
    <x v="13"/>
    <x v="0"/>
    <x v="0"/>
    <x v="20"/>
    <n v="14"/>
    <n v="165.5"/>
    <m/>
  </r>
  <r>
    <x v="13"/>
    <x v="2"/>
    <x v="2"/>
    <x v="18"/>
    <n v="14"/>
    <m/>
    <n v="165.5"/>
  </r>
  <r>
    <x v="14"/>
    <x v="4"/>
    <x v="4"/>
    <x v="21"/>
    <n v="15"/>
    <m/>
    <n v="165.9"/>
  </r>
  <r>
    <x v="14"/>
    <x v="7"/>
    <x v="7"/>
    <x v="22"/>
    <n v="15"/>
    <n v="165.9"/>
    <m/>
  </r>
  <r>
    <x v="15"/>
    <x v="0"/>
    <x v="0"/>
    <x v="23"/>
    <n v="16"/>
    <m/>
    <n v="165.9"/>
  </r>
  <r>
    <x v="15"/>
    <x v="4"/>
    <x v="4"/>
    <x v="21"/>
    <n v="16"/>
    <n v="165.9"/>
    <m/>
  </r>
  <r>
    <x v="16"/>
    <x v="2"/>
    <x v="2"/>
    <x v="24"/>
    <n v="17"/>
    <n v="275.25"/>
    <m/>
  </r>
  <r>
    <x v="16"/>
    <x v="3"/>
    <x v="3"/>
    <x v="25"/>
    <n v="17"/>
    <m/>
    <n v="275.25"/>
  </r>
  <r>
    <x v="17"/>
    <x v="4"/>
    <x v="4"/>
    <x v="26"/>
    <n v="18"/>
    <m/>
    <n v="132.4"/>
  </r>
  <r>
    <x v="17"/>
    <x v="5"/>
    <x v="5"/>
    <x v="27"/>
    <n v="18"/>
    <n v="132.4"/>
    <m/>
  </r>
  <r>
    <x v="18"/>
    <x v="0"/>
    <x v="0"/>
    <x v="24"/>
    <n v="19"/>
    <n v="275.25"/>
    <m/>
  </r>
  <r>
    <x v="18"/>
    <x v="2"/>
    <x v="2"/>
    <x v="24"/>
    <n v="19"/>
    <m/>
    <n v="275.25"/>
  </r>
  <r>
    <x v="19"/>
    <x v="0"/>
    <x v="0"/>
    <x v="28"/>
    <n v="20"/>
    <m/>
    <n v="132.4"/>
  </r>
  <r>
    <x v="19"/>
    <x v="4"/>
    <x v="4"/>
    <x v="29"/>
    <n v="20"/>
    <n v="132.4"/>
    <m/>
  </r>
  <r>
    <x v="20"/>
    <x v="2"/>
    <x v="2"/>
    <x v="30"/>
    <n v="21"/>
    <n v="320.60000000000002"/>
    <m/>
  </r>
  <r>
    <x v="20"/>
    <x v="3"/>
    <x v="3"/>
    <x v="31"/>
    <n v="21"/>
    <m/>
    <n v="320.60000000000002"/>
  </r>
  <r>
    <x v="21"/>
    <x v="4"/>
    <x v="4"/>
    <x v="32"/>
    <n v="22"/>
    <m/>
    <n v="158.75"/>
  </r>
  <r>
    <x v="21"/>
    <x v="5"/>
    <x v="5"/>
    <x v="33"/>
    <n v="22"/>
    <n v="158.75"/>
    <m/>
  </r>
  <r>
    <x v="22"/>
    <x v="0"/>
    <x v="0"/>
    <x v="34"/>
    <n v="23"/>
    <n v="320.60000000000002"/>
    <m/>
  </r>
  <r>
    <x v="22"/>
    <x v="2"/>
    <x v="2"/>
    <x v="30"/>
    <n v="23"/>
    <m/>
    <n v="320.60000000000002"/>
  </r>
  <r>
    <x v="23"/>
    <x v="0"/>
    <x v="0"/>
    <x v="35"/>
    <n v="24"/>
    <m/>
    <n v="158.75"/>
  </r>
  <r>
    <x v="23"/>
    <x v="4"/>
    <x v="4"/>
    <x v="32"/>
    <n v="24"/>
    <n v="158.7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D95C9-2299-4BDA-84CA-412834426B8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I49" firstHeaderRow="0" firstDataRow="1" firstDataCol="6"/>
  <pivotFields count="10">
    <pivotField axis="axisRow" compact="0" numFmtId="14" outline="0" showAll="0" defaultSubtotal="0">
      <items count="24">
        <item x="0"/>
        <item x="1"/>
        <item x="2"/>
        <item x="3"/>
        <item x="4"/>
        <item x="5"/>
        <item x="6"/>
        <item x="7"/>
        <item x="8"/>
        <item x="9"/>
        <item x="10"/>
        <item x="11"/>
        <item x="12"/>
        <item x="13"/>
        <item x="14"/>
        <item x="15"/>
        <item x="16"/>
        <item x="17"/>
        <item x="18"/>
        <item x="19"/>
        <item x="20"/>
        <item x="21"/>
        <item x="22"/>
        <item x="23"/>
      </items>
    </pivotField>
    <pivotField axis="axisRow" compact="0" outline="0" showAll="0" sortType="ascending" defaultSubtotal="0">
      <items count="8">
        <item x="0"/>
        <item x="2"/>
        <item x="4"/>
        <item x="1"/>
        <item x="3"/>
        <item x="5"/>
        <item x="7"/>
        <item x="6"/>
      </items>
    </pivotField>
    <pivotField axis="axisRow" compact="0" outline="0" showAll="0" insertBlankRow="1">
      <items count="9">
        <item x="4"/>
        <item x="2"/>
        <item x="0"/>
        <item x="6"/>
        <item x="7"/>
        <item x="5"/>
        <item x="1"/>
        <item x="3"/>
        <item t="default"/>
      </items>
    </pivotField>
    <pivotField axis="axisRow" compact="0" outline="0" showAll="0" defaultSubtotal="0">
      <items count="36">
        <item x="10"/>
        <item x="18"/>
        <item x="20"/>
        <item x="19"/>
        <item x="11"/>
        <item x="7"/>
        <item x="8"/>
        <item x="9"/>
        <item x="13"/>
        <item x="14"/>
        <item x="17"/>
        <item x="4"/>
        <item x="30"/>
        <item x="31"/>
        <item x="15"/>
        <item x="16"/>
        <item x="3"/>
        <item x="0"/>
        <item x="34"/>
        <item x="12"/>
        <item x="6"/>
        <item x="28"/>
        <item x="23"/>
        <item x="35"/>
        <item x="29"/>
        <item x="26"/>
        <item x="27"/>
        <item x="21"/>
        <item x="22"/>
        <item x="1"/>
        <item x="2"/>
        <item x="5"/>
        <item x="32"/>
        <item x="33"/>
        <item x="24"/>
        <item x="25"/>
      </items>
    </pivotField>
    <pivotField compact="0" outline="0" showAll="0" defaultSubtotal="0"/>
    <pivotField dataField="1" compact="0" outline="0" showAll="0" defaultSubtotal="0"/>
    <pivotField dataField="1" compact="0" outline="0" showAll="0" defaultSubtotal="0"/>
    <pivotField axis="axisRow" compact="0" outline="0" showAll="0" defaultSubtotal="0">
      <items count="368">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x="35"/>
        <item sd="0" x="36"/>
        <item x="37"/>
        <item x="38"/>
        <item sd="0" x="39"/>
        <item sd="0" x="40"/>
        <item x="41"/>
        <item sd="0" x="42"/>
        <item sd="0" x="43"/>
        <item sd="0" x="44"/>
        <item sd="0" x="45"/>
        <item sd="0" x="46"/>
        <item sd="0" x="47"/>
        <item sd="0" x="48"/>
        <item sd="0" x="49"/>
        <item sd="0" x="50"/>
        <item x="51"/>
        <item sd="0" x="52"/>
        <item sd="0" x="53"/>
        <item x="54"/>
        <item sd="0" x="55"/>
        <item x="56"/>
        <item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x="1"/>
        <item sd="0" x="2"/>
        <item sd="0" x="3"/>
        <item sd="0" x="4"/>
        <item sd="0" x="5"/>
        <item sd="0" x="6"/>
        <item sd="0" x="7"/>
        <item sd="0" x="8"/>
        <item sd="0" x="9"/>
        <item sd="0" x="10"/>
        <item sd="0" x="11"/>
        <item sd="0" x="12"/>
        <item sd="0" x="13"/>
      </items>
    </pivotField>
    <pivotField dataField="1" compact="0" outline="0" dragToRow="0" dragToCol="0" dragToPage="0" showAll="0" defaultSubtotal="0"/>
  </pivotFields>
  <rowFields count="6">
    <field x="1"/>
    <field x="2"/>
    <field x="8"/>
    <field x="7"/>
    <field x="0"/>
    <field x="3"/>
  </rowFields>
  <rowItems count="46">
    <i>
      <x/>
      <x v="2"/>
      <x v="1"/>
      <x v="1"/>
      <x/>
      <x v="17"/>
    </i>
    <i r="3">
      <x v="7"/>
    </i>
    <i r="3">
      <x v="10"/>
    </i>
    <i r="3">
      <x v="22"/>
    </i>
    <i r="3">
      <x v="25"/>
    </i>
    <i r="2">
      <x v="2"/>
    </i>
    <i r="2">
      <x v="3"/>
    </i>
    <i t="default" r="1">
      <x v="2"/>
    </i>
    <i t="blank" r="1">
      <x v="2"/>
    </i>
    <i>
      <x v="1"/>
      <x v="1"/>
      <x v="1"/>
      <x v="3"/>
    </i>
    <i r="3">
      <x v="7"/>
    </i>
    <i r="3">
      <x v="18"/>
    </i>
    <i r="3">
      <x v="22"/>
    </i>
    <i r="2">
      <x v="2"/>
    </i>
    <i r="2">
      <x v="3"/>
    </i>
    <i t="default" r="1">
      <x v="1"/>
    </i>
    <i t="blank" r="1">
      <x v="1"/>
    </i>
    <i>
      <x v="2"/>
      <x/>
      <x v="1"/>
      <x v="5"/>
    </i>
    <i r="3">
      <x v="10"/>
    </i>
    <i r="3">
      <x v="22"/>
    </i>
    <i r="3">
      <x v="25"/>
    </i>
    <i r="2">
      <x v="2"/>
    </i>
    <i r="2">
      <x v="3"/>
    </i>
    <i t="default" r="1">
      <x/>
    </i>
    <i t="blank" r="1">
      <x/>
    </i>
    <i>
      <x v="3"/>
      <x v="6"/>
      <x v="1"/>
      <x v="1"/>
      <x/>
      <x v="17"/>
    </i>
    <i t="default" r="1">
      <x v="6"/>
    </i>
    <i t="blank" r="1">
      <x v="6"/>
    </i>
    <i>
      <x v="4"/>
      <x v="7"/>
      <x v="1"/>
      <x v="3"/>
    </i>
    <i r="3">
      <x v="18"/>
    </i>
    <i r="2">
      <x v="2"/>
    </i>
    <i r="2">
      <x v="3"/>
    </i>
    <i t="default" r="1">
      <x v="7"/>
    </i>
    <i t="blank" r="1">
      <x v="7"/>
    </i>
    <i>
      <x v="5"/>
      <x v="5"/>
      <x v="1"/>
      <x v="5"/>
    </i>
    <i r="2">
      <x v="2"/>
    </i>
    <i r="2">
      <x v="3"/>
    </i>
    <i t="default" r="1">
      <x v="5"/>
    </i>
    <i t="blank" r="1">
      <x v="5"/>
    </i>
    <i>
      <x v="6"/>
      <x v="4"/>
      <x v="2"/>
    </i>
    <i t="default" r="1">
      <x v="4"/>
    </i>
    <i t="blank" r="1">
      <x v="4"/>
    </i>
    <i>
      <x v="7"/>
      <x v="3"/>
      <x v="1"/>
      <x v="22"/>
    </i>
    <i t="default" r="1">
      <x v="3"/>
    </i>
    <i t="blank" r="1">
      <x v="3"/>
    </i>
    <i t="grand">
      <x/>
    </i>
  </rowItems>
  <colFields count="1">
    <field x="-2"/>
  </colFields>
  <colItems count="3">
    <i>
      <x/>
    </i>
    <i i="1">
      <x v="1"/>
    </i>
    <i i="2">
      <x v="2"/>
    </i>
  </colItems>
  <dataFields count="3">
    <dataField name="Sum of Debit" fld="5" baseField="8" baseItem="1" numFmtId="8"/>
    <dataField name="Sum of Credit" fld="6" baseField="8" baseItem="1" numFmtId="8"/>
    <dataField name="Sum of Balance" fld="9" baseField="2" baseItem="0" numFmtId="8"/>
  </dataFields>
  <formats count="47">
    <format dxfId="78">
      <pivotArea outline="0" fieldPosition="0">
        <references count="1">
          <reference field="2" count="1" selected="0" defaultSubtotal="1">
            <x v="0"/>
          </reference>
        </references>
      </pivotArea>
    </format>
    <format dxfId="77">
      <pivotArea dataOnly="0" labelOnly="1" outline="0" fieldPosition="0">
        <references count="1">
          <reference field="2" count="1" defaultSubtotal="1">
            <x v="0"/>
          </reference>
        </references>
      </pivotArea>
    </format>
    <format dxfId="76">
      <pivotArea outline="0" fieldPosition="0">
        <references count="1">
          <reference field="2" count="1" selected="0" defaultSubtotal="1">
            <x v="1"/>
          </reference>
        </references>
      </pivotArea>
    </format>
    <format dxfId="75">
      <pivotArea dataOnly="0" labelOnly="1" outline="0" fieldPosition="0">
        <references count="1">
          <reference field="2" count="1" defaultSubtotal="1">
            <x v="1"/>
          </reference>
        </references>
      </pivotArea>
    </format>
    <format dxfId="74">
      <pivotArea outline="0" fieldPosition="0">
        <references count="1">
          <reference field="2" count="1" selected="0" defaultSubtotal="1">
            <x v="0"/>
          </reference>
        </references>
      </pivotArea>
    </format>
    <format dxfId="73">
      <pivotArea dataOnly="0" labelOnly="1" outline="0" fieldPosition="0">
        <references count="1">
          <reference field="2" count="1" defaultSubtotal="1">
            <x v="0"/>
          </reference>
        </references>
      </pivotArea>
    </format>
    <format dxfId="72">
      <pivotArea outline="0" fieldPosition="0">
        <references count="1">
          <reference field="2" count="1" selected="0" defaultSubtotal="1">
            <x v="2"/>
          </reference>
        </references>
      </pivotArea>
    </format>
    <format dxfId="71">
      <pivotArea dataOnly="0" labelOnly="1" outline="0" fieldPosition="0">
        <references count="1">
          <reference field="2" count="1" defaultSubtotal="1">
            <x v="2"/>
          </reference>
        </references>
      </pivotArea>
    </format>
    <format dxfId="70">
      <pivotArea outline="0" fieldPosition="0">
        <references count="1">
          <reference field="2" count="1" selected="0" defaultSubtotal="1">
            <x v="3"/>
          </reference>
        </references>
      </pivotArea>
    </format>
    <format dxfId="69">
      <pivotArea dataOnly="0" labelOnly="1" outline="0" fieldPosition="0">
        <references count="1">
          <reference field="2" count="1" defaultSubtotal="1">
            <x v="3"/>
          </reference>
        </references>
      </pivotArea>
    </format>
    <format dxfId="68">
      <pivotArea outline="0" fieldPosition="0">
        <references count="1">
          <reference field="2" count="1" selected="0" defaultSubtotal="1">
            <x v="4"/>
          </reference>
        </references>
      </pivotArea>
    </format>
    <format dxfId="67">
      <pivotArea dataOnly="0" labelOnly="1" outline="0" fieldPosition="0">
        <references count="1">
          <reference field="2" count="1" defaultSubtotal="1">
            <x v="4"/>
          </reference>
        </references>
      </pivotArea>
    </format>
    <format dxfId="66">
      <pivotArea outline="0" fieldPosition="0">
        <references count="1">
          <reference field="2" count="1" selected="0" defaultSubtotal="1">
            <x v="5"/>
          </reference>
        </references>
      </pivotArea>
    </format>
    <format dxfId="65">
      <pivotArea dataOnly="0" labelOnly="1" outline="0" fieldPosition="0">
        <references count="1">
          <reference field="2" count="1" defaultSubtotal="1">
            <x v="5"/>
          </reference>
        </references>
      </pivotArea>
    </format>
    <format dxfId="64">
      <pivotArea outline="0" fieldPosition="0">
        <references count="1">
          <reference field="2" count="1" selected="0" defaultSubtotal="1">
            <x v="6"/>
          </reference>
        </references>
      </pivotArea>
    </format>
    <format dxfId="63">
      <pivotArea dataOnly="0" labelOnly="1" outline="0" fieldPosition="0">
        <references count="1">
          <reference field="2" count="1" defaultSubtotal="1">
            <x v="6"/>
          </reference>
        </references>
      </pivotArea>
    </format>
    <format dxfId="62">
      <pivotArea outline="0" fieldPosition="0">
        <references count="1">
          <reference field="2" count="1" selected="0" defaultSubtotal="1">
            <x v="7"/>
          </reference>
        </references>
      </pivotArea>
    </format>
    <format dxfId="61">
      <pivotArea dataOnly="0" labelOnly="1" outline="0" fieldPosition="0">
        <references count="1">
          <reference field="2" count="1" defaultSubtotal="1">
            <x v="7"/>
          </reference>
        </references>
      </pivotArea>
    </format>
    <format dxfId="60">
      <pivotArea field="2" type="button" dataOnly="0" labelOnly="1" outline="0" axis="axisRow" fieldPosition="1"/>
    </format>
    <format dxfId="59">
      <pivotArea field="8" type="button" dataOnly="0" labelOnly="1" outline="0" axis="axisRow" fieldPosition="2"/>
    </format>
    <format dxfId="58">
      <pivotArea field="7" type="button" dataOnly="0" labelOnly="1" outline="0" axis="axisRow" fieldPosition="3"/>
    </format>
    <format dxfId="57">
      <pivotArea field="0" type="button" dataOnly="0" labelOnly="1" outline="0" axis="axisRow" fieldPosition="4"/>
    </format>
    <format dxfId="56">
      <pivotArea field="3" type="button" dataOnly="0" labelOnly="1" outline="0" axis="axisRow" fieldPosition="5"/>
    </format>
    <format dxfId="55">
      <pivotArea dataOnly="0" labelOnly="1" outline="0" fieldPosition="0">
        <references count="1">
          <reference field="4294967294" count="2">
            <x v="0"/>
            <x v="1"/>
          </reference>
        </references>
      </pivotArea>
    </format>
    <format dxfId="54">
      <pivotArea grandRow="1" outline="0" collapsedLevelsAreSubtotals="1" fieldPosition="0"/>
    </format>
    <format dxfId="53">
      <pivotArea dataOnly="0" labelOnly="1" grandRow="1" outline="0" fieldPosition="0"/>
    </format>
    <format dxfId="52">
      <pivotArea dataOnly="0" labelOnly="1" outline="0" fieldPosition="0">
        <references count="1">
          <reference field="4294967294" count="1">
            <x v="2"/>
          </reference>
        </references>
      </pivotArea>
    </format>
    <format dxfId="51">
      <pivotArea outline="0" fieldPosition="0">
        <references count="1">
          <reference field="4294967294" count="1">
            <x v="2"/>
          </reference>
        </references>
      </pivotArea>
    </format>
    <format dxfId="50">
      <pivotArea outline="0" fieldPosition="0">
        <references count="1">
          <reference field="4294967294" count="1">
            <x v="0"/>
          </reference>
        </references>
      </pivotArea>
    </format>
    <format dxfId="49">
      <pivotArea outline="0" fieldPosition="0">
        <references count="1">
          <reference field="4294967294" count="1">
            <x v="1"/>
          </reference>
        </references>
      </pivotArea>
    </format>
    <format dxfId="48">
      <pivotArea field="1" type="button" dataOnly="0" labelOnly="1" outline="0" axis="axisRow" fieldPosition="0"/>
    </format>
    <format dxfId="47">
      <pivotArea dataOnly="0" labelOnly="1" outline="0" offset="IV1" fieldPosition="0">
        <references count="2">
          <reference field="1" count="1" selected="0">
            <x v="0"/>
          </reference>
          <reference field="2" count="1">
            <x v="2"/>
          </reference>
        </references>
      </pivotArea>
    </format>
    <format dxfId="46">
      <pivotArea dataOnly="0" labelOnly="1" outline="0" offset="IV1" fieldPosition="0">
        <references count="2">
          <reference field="1" count="1" selected="0">
            <x v="1"/>
          </reference>
          <reference field="2" count="1">
            <x v="1"/>
          </reference>
        </references>
      </pivotArea>
    </format>
    <format dxfId="45">
      <pivotArea dataOnly="0" labelOnly="1" outline="0" offset="IV1" fieldPosition="0">
        <references count="2">
          <reference field="1" count="1" selected="0">
            <x v="2"/>
          </reference>
          <reference field="2" count="1">
            <x v="0"/>
          </reference>
        </references>
      </pivotArea>
    </format>
    <format dxfId="44">
      <pivotArea dataOnly="0" labelOnly="1" outline="0" fieldPosition="0">
        <references count="2">
          <reference field="1" count="1" selected="0">
            <x v="3"/>
          </reference>
          <reference field="2" count="1">
            <x v="6"/>
          </reference>
        </references>
      </pivotArea>
    </format>
    <format dxfId="43">
      <pivotArea dataOnly="0" labelOnly="1" outline="0" offset="IV1" fieldPosition="0">
        <references count="2">
          <reference field="1" count="1" selected="0">
            <x v="4"/>
          </reference>
          <reference field="2" count="1">
            <x v="7"/>
          </reference>
        </references>
      </pivotArea>
    </format>
    <format dxfId="42">
      <pivotArea dataOnly="0" labelOnly="1" outline="0" offset="IV1" fieldPosition="0">
        <references count="2">
          <reference field="1" count="1" selected="0">
            <x v="5"/>
          </reference>
          <reference field="2" count="1">
            <x v="5"/>
          </reference>
        </references>
      </pivotArea>
    </format>
    <format dxfId="41">
      <pivotArea dataOnly="0" labelOnly="1" outline="0" fieldPosition="0">
        <references count="2">
          <reference field="1" count="1" selected="0">
            <x v="6"/>
          </reference>
          <reference field="2" count="1">
            <x v="4"/>
          </reference>
        </references>
      </pivotArea>
    </format>
    <format dxfId="40">
      <pivotArea dataOnly="0" labelOnly="1" outline="0" fieldPosition="0">
        <references count="2">
          <reference field="1" count="1" selected="0">
            <x v="7"/>
          </reference>
          <reference field="2" count="1">
            <x v="3"/>
          </reference>
        </references>
      </pivotArea>
    </format>
    <format dxfId="39">
      <pivotArea dataOnly="0" labelOnly="1" outline="0" offset="IV1" fieldPosition="0">
        <references count="2">
          <reference field="1" count="1" selected="0">
            <x v="0"/>
          </reference>
          <reference field="2" count="1">
            <x v="2"/>
          </reference>
        </references>
      </pivotArea>
    </format>
    <format dxfId="38">
      <pivotArea dataOnly="0" labelOnly="1" outline="0" offset="IV1" fieldPosition="0">
        <references count="2">
          <reference field="1" count="1" selected="0">
            <x v="1"/>
          </reference>
          <reference field="2" count="1">
            <x v="1"/>
          </reference>
        </references>
      </pivotArea>
    </format>
    <format dxfId="37">
      <pivotArea dataOnly="0" labelOnly="1" outline="0" offset="IV1" fieldPosition="0">
        <references count="2">
          <reference field="1" count="1" selected="0">
            <x v="2"/>
          </reference>
          <reference field="2" count="1">
            <x v="0"/>
          </reference>
        </references>
      </pivotArea>
    </format>
    <format dxfId="36">
      <pivotArea dataOnly="0" labelOnly="1" outline="0" fieldPosition="0">
        <references count="2">
          <reference field="1" count="1" selected="0">
            <x v="3"/>
          </reference>
          <reference field="2" count="1">
            <x v="6"/>
          </reference>
        </references>
      </pivotArea>
    </format>
    <format dxfId="35">
      <pivotArea dataOnly="0" labelOnly="1" outline="0" offset="IV1" fieldPosition="0">
        <references count="2">
          <reference field="1" count="1" selected="0">
            <x v="4"/>
          </reference>
          <reference field="2" count="1">
            <x v="7"/>
          </reference>
        </references>
      </pivotArea>
    </format>
    <format dxfId="34">
      <pivotArea dataOnly="0" labelOnly="1" outline="0" offset="IV1" fieldPosition="0">
        <references count="2">
          <reference field="1" count="1" selected="0">
            <x v="5"/>
          </reference>
          <reference field="2" count="1">
            <x v="5"/>
          </reference>
        </references>
      </pivotArea>
    </format>
    <format dxfId="33">
      <pivotArea dataOnly="0" labelOnly="1" outline="0" fieldPosition="0">
        <references count="2">
          <reference field="1" count="1" selected="0">
            <x v="6"/>
          </reference>
          <reference field="2" count="1">
            <x v="4"/>
          </reference>
        </references>
      </pivotArea>
    </format>
    <format dxfId="32">
      <pivotArea dataOnly="0" labelOnly="1" outline="0" fieldPosition="0">
        <references count="2">
          <reference field="1" count="1" selected="0">
            <x v="7"/>
          </reference>
          <reference field="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E6F0BB7-27BD-4DF3-A091-55A324AC625A}" autoFormatId="16" applyNumberFormats="0" applyBorderFormats="0" applyFontFormats="0" applyPatternFormats="0" applyAlignmentFormats="0" applyWidthHeightFormats="0">
  <queryTableRefresh nextId="8">
    <queryTableFields count="5">
      <queryTableField id="1" name="Date" tableColumnId="1"/>
      <queryTableField id="6" name="Month" tableColumnId="5"/>
      <queryTableField id="2" name="Description" tableColumnId="2"/>
      <queryTableField id="3" name="Amount" tableColumnId="3"/>
      <queryTableField id="4" name="Transaction Typ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2D23698-91AE-4A20-8B5A-697BF469D07B}" autoFormatId="16" applyNumberFormats="0" applyBorderFormats="0" applyFontFormats="0" applyPatternFormats="0" applyAlignmentFormats="0" applyWidthHeightFormats="0">
  <queryTableRefresh nextId="10">
    <queryTableFields count="9">
      <queryTableField id="1" name="Date" tableColumnId="1"/>
      <queryTableField id="2" name="Month" tableColumnId="2"/>
      <queryTableField id="3" name="Description" tableColumnId="3"/>
      <queryTableField id="4" name="Amount" tableColumnId="4"/>
      <queryTableField id="5" name="Transaction Type" tableColumnId="5"/>
      <queryTableField id="6" name="Receivable.InvoiceDate" tableColumnId="6"/>
      <queryTableField id="7" name="Receivable.Customer" tableColumnId="7"/>
      <queryTableField id="8" name="Receivable.Amount" tableColumnId="8"/>
      <queryTableField id="9" name="Days_To_Payment"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EBC825C1-78F1-403D-8625-858391500D96}" autoFormatId="16" applyNumberFormats="0" applyBorderFormats="0" applyFontFormats="0" applyPatternFormats="0" applyAlignmentFormats="0" applyWidthHeightFormats="0">
  <queryTableRefresh nextId="10">
    <queryTableFields count="9">
      <queryTableField id="1" name="Date" tableColumnId="1"/>
      <queryTableField id="2" name="Month" tableColumnId="2"/>
      <queryTableField id="3" name="Description" tableColumnId="3"/>
      <queryTableField id="4" name="Amount" tableColumnId="4"/>
      <queryTableField id="5" name="Transaction Type" tableColumnId="5"/>
      <queryTableField id="6" name="Payable.InvoiceDate" tableColumnId="6"/>
      <queryTableField id="7" name="Payable.Vendor" tableColumnId="7"/>
      <queryTableField id="8" name="Payable.Amount" tableColumnId="8"/>
      <queryTableField id="9" name="Days_To_Payment"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B9ED07EA-0D59-4281-9CA2-78935C35701F}" autoFormatId="16" applyNumberFormats="0" applyBorderFormats="0" applyFontFormats="0" applyPatternFormats="0" applyAlignmentFormats="0" applyWidthHeightFormats="0">
  <queryTableRefresh nextId="10">
    <queryTableFields count="8">
      <queryTableField id="1" name="InvoiceID" tableColumnId="1"/>
      <queryTableField id="2" name="InvoiceDate" tableColumnId="2"/>
      <queryTableField id="8" name="Month" tableColumnId="8"/>
      <queryTableField id="3" name="Customer" tableColumnId="3"/>
      <queryTableField id="4" name="ProjectType" tableColumnId="4"/>
      <queryTableField id="5" name="Amount" tableColumnId="5"/>
      <queryTableField id="6" name="Status" tableColumnId="6"/>
      <queryTableField id="7" name="sourc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D6078FFC-C851-468F-BDF0-951977E5ABDC}" autoFormatId="16" applyNumberFormats="0" applyBorderFormats="0" applyFontFormats="0" applyPatternFormats="0" applyAlignmentFormats="0" applyWidthHeightFormats="0">
  <queryTableRefresh nextId="10">
    <queryTableFields count="8">
      <queryTableField id="1" name="InvoiceID" tableColumnId="1"/>
      <queryTableField id="2" name="InvoiceDate" tableColumnId="2"/>
      <queryTableField id="8" name="Month" tableColumnId="8"/>
      <queryTableField id="3" name="Vendor" tableColumnId="3"/>
      <queryTableField id="4" name="ExpenseType" tableColumnId="4"/>
      <queryTableField id="5" name="Amount" tableColumnId="5"/>
      <queryTableField id="6" name="Status" tableColumnId="6"/>
      <queryTableField id="7" name="Sourc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00C7BEF1-3B9F-4A0A-AE2A-05ABC591393A}" sourceName="Account">
  <pivotTables>
    <pivotTable tabId="10" name="PivotTable1"/>
  </pivotTables>
  <data>
    <tabular pivotCacheId="1397498920">
      <items count="8">
        <i x="4" s="1"/>
        <i x="2" s="1"/>
        <i x="0" s="1"/>
        <i x="6" s="1"/>
        <i x="7"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0FA0FDC-5B53-474E-AB7A-54A02377CA6E}" sourceName="Months (Date)">
  <pivotTables>
    <pivotTable tabId="10" name="PivotTable1"/>
  </pivotTables>
  <data>
    <tabular pivotCacheId="1397498920">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AFB48C6D-473E-4A2B-B0A3-D56A4E88A795}" cache="Slicer_Account" caption="Account" style="SlicerStyleOther2" rowHeight="251883"/>
  <slicer name="Months (Date)" xr10:uid="{5AF9C476-0523-4D33-A279-EC1180E0BDD8}" cache="Slicer_Months__Date" caption="Months Q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6C9D05-70B5-4237-B778-0986C7CB564B}" name="bank_statatement" displayName="bank_statatement" ref="A1:E14" tableType="queryTable" totalsRowShown="0">
  <autoFilter ref="A1:E14" xr:uid="{D36C9D05-70B5-4237-B778-0986C7CB564B}"/>
  <tableColumns count="5">
    <tableColumn id="1" xr3:uid="{5A3E1E62-6E9F-41C6-BCFE-47B07D51B61A}" uniqueName="1" name="Date" queryTableFieldId="1" dataDxfId="14"/>
    <tableColumn id="5" xr3:uid="{2DAA4063-21F8-40D6-B7A9-29409B7FA263}" uniqueName="5" name="Month" queryTableFieldId="6" dataDxfId="13"/>
    <tableColumn id="2" xr3:uid="{0DF7BD41-0BE2-47BD-8A47-CCCE261F4083}" uniqueName="2" name="Description" queryTableFieldId="2" dataDxfId="12"/>
    <tableColumn id="3" xr3:uid="{5A70D430-D0A9-4130-97AC-596F19474061}" uniqueName="3" name="Amount" queryTableFieldId="3"/>
    <tableColumn id="4" xr3:uid="{D30ADCDC-755A-4BDF-A232-ED66BB946F43}" uniqueName="4" name="Transaction Type"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021B02-52F2-4204-911D-120CB82E3398}" name="Journal_Entries" displayName="Journal_Entries" ref="A2:G53" totalsRowCount="1" headerRowDxfId="31">
  <autoFilter ref="A2:G52" xr:uid="{56021B02-52F2-4204-911D-120CB82E3398}"/>
  <tableColumns count="7">
    <tableColumn id="1" xr3:uid="{520B6C97-96EF-47BC-AA09-41821C8030C4}" name="Date" totalsRowLabel="Total" dataDxfId="30"/>
    <tableColumn id="7" xr3:uid="{16D68516-AEFB-47EB-ACD6-E986295C9192}" name="Account Code" dataDxfId="29">
      <calculatedColumnFormula>_xlfn.XLOOKUP(Journal_Entries[[#This Row],[Account]],'Chart Of Accounts'!E:E,'Chart Of Accounts'!D:D)</calculatedColumnFormula>
    </tableColumn>
    <tableColumn id="2" xr3:uid="{D8B7E4E3-DD00-4D37-B627-50469A9D1AFD}" name="Account"/>
    <tableColumn id="3" xr3:uid="{44591917-8BFA-4413-BFB1-883058C92DDA}" name="Description"/>
    <tableColumn id="4" xr3:uid="{10EC13B9-D44A-4BC1-B24A-FF3AAE7997AE}" name="JE#"/>
    <tableColumn id="5" xr3:uid="{F61D1E54-5308-4962-B68F-C6F8EA665AB3}" name="Debit" totalsRowFunction="sum" dataDxfId="28" totalsRowDxfId="27"/>
    <tableColumn id="6" xr3:uid="{06AC6E7B-0C7C-49A8-B8B3-245706C67FDE}" name="Credit" totalsRowFunction="sum" dataDxfId="26" totalsRow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80CC20-EA87-4059-9B36-75D5159E4372}" name="Bank_Receivable_Reconcile" displayName="Bank_Receivable_Reconcile" ref="A1:I7" tableType="queryTable" totalsRowShown="0">
  <autoFilter ref="A1:I7" xr:uid="{C780CC20-EA87-4059-9B36-75D5159E4372}"/>
  <tableColumns count="9">
    <tableColumn id="1" xr3:uid="{BBB42B05-5805-481B-A0D5-BD514162B05A}" uniqueName="1" name="Date" queryTableFieldId="1" dataDxfId="24"/>
    <tableColumn id="2" xr3:uid="{5D609CD2-E85F-4CF1-8B9A-D5045EB0E172}" uniqueName="2" name="Month" queryTableFieldId="2" dataDxfId="23"/>
    <tableColumn id="3" xr3:uid="{5D6C1A44-59AF-4C45-8E2C-C73DC0072CCD}" uniqueName="3" name="Description" queryTableFieldId="3" dataDxfId="22"/>
    <tableColumn id="4" xr3:uid="{2A76AA18-99B8-492E-B138-704CAC168CDE}" uniqueName="4" name="Amount" queryTableFieldId="4"/>
    <tableColumn id="5" xr3:uid="{80A6080F-FA08-4236-AD5D-603B3ED1AAA5}" uniqueName="5" name="Transaction Type" queryTableFieldId="5"/>
    <tableColumn id="6" xr3:uid="{6987F276-7CA9-4E63-8C6F-C9E822F4E101}" uniqueName="6" name="Receivable.InvoiceDate" queryTableFieldId="6" dataDxfId="21"/>
    <tableColumn id="7" xr3:uid="{3E6BD580-4825-4452-A7F8-C1D45F1F3380}" uniqueName="7" name="Receivable.Customer" queryTableFieldId="7" dataDxfId="20"/>
    <tableColumn id="8" xr3:uid="{83721D64-CBBB-4698-9C53-80A9D83037E2}" uniqueName="8" name="Receivable.Amount" queryTableFieldId="8"/>
    <tableColumn id="9" xr3:uid="{8C04F909-5E40-4AFD-9115-E9A7A072A2C4}" uniqueName="9" name="Days_To_Payment" queryTableField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3E0D52-2731-4B21-BCC1-CB6553C1060E}" name="Bank_Payable_Reconcile" displayName="Bank_Payable_Reconcile" ref="A1:I7" tableType="queryTable" totalsRowShown="0">
  <autoFilter ref="A1:I7" xr:uid="{E53E0D52-2731-4B21-BCC1-CB6553C1060E}"/>
  <tableColumns count="9">
    <tableColumn id="1" xr3:uid="{35054096-2A4E-43EA-9929-82867A541112}" uniqueName="1" name="Date" queryTableFieldId="1" dataDxfId="19"/>
    <tableColumn id="2" xr3:uid="{5164D00B-57FD-4C12-8E1E-197F6E280B59}" uniqueName="2" name="Month" queryTableFieldId="2" dataDxfId="18"/>
    <tableColumn id="3" xr3:uid="{7308A481-6727-4892-B762-62D75BC7DB2B}" uniqueName="3" name="Description" queryTableFieldId="3" dataDxfId="17"/>
    <tableColumn id="4" xr3:uid="{D8A806F0-9B64-4180-BFC2-C2548456B3F2}" uniqueName="4" name="Amount" queryTableFieldId="4"/>
    <tableColumn id="5" xr3:uid="{425E1B0E-8625-460D-8427-DDBB1A588D01}" uniqueName="5" name="Transaction Type" queryTableFieldId="5"/>
    <tableColumn id="6" xr3:uid="{3AB47470-ECD8-4AED-B239-26FA1CDE8A2A}" uniqueName="6" name="Payable.InvoiceDate" queryTableFieldId="6" dataDxfId="16"/>
    <tableColumn id="7" xr3:uid="{DB579DC8-7D0B-4FCC-8B00-22D6E72205E8}" uniqueName="7" name="Payable.Vendor" queryTableFieldId="7" dataDxfId="15"/>
    <tableColumn id="8" xr3:uid="{99712CA4-74CF-4004-96C3-9DFEA4D607FC}" uniqueName="8" name="Payable.Amount" queryTableFieldId="8"/>
    <tableColumn id="9" xr3:uid="{8F7DFFFF-0029-4BCF-A8FA-E885CBD95B18}" uniqueName="9" name="Days_To_Payment" queryTableField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E60275-6A0A-4148-9B81-E15E4D6A9477}" name="Receivable" displayName="Receivable" ref="A1:H9" tableType="queryTable" totalsRowShown="0">
  <autoFilter ref="A1:H9" xr:uid="{EDE60275-6A0A-4148-9B81-E15E4D6A9477}"/>
  <tableColumns count="8">
    <tableColumn id="1" xr3:uid="{D3DE4107-B7AB-49DC-B771-68660E911279}" uniqueName="1" name="InvoiceID" queryTableFieldId="1" dataDxfId="5"/>
    <tableColumn id="2" xr3:uid="{2166E1ED-DA61-4594-8801-3ECFC92BF99E}" uniqueName="2" name="InvoiceDate" queryTableFieldId="2" dataDxfId="4"/>
    <tableColumn id="8" xr3:uid="{00A806F3-CE7C-4015-9431-579D7EFC9D83}" uniqueName="8" name="Month" queryTableFieldId="8" dataDxfId="3"/>
    <tableColumn id="3" xr3:uid="{BB496519-E7E9-427C-8486-6D76713D1718}" uniqueName="3" name="Customer" queryTableFieldId="3" dataDxfId="2"/>
    <tableColumn id="4" xr3:uid="{32E3800E-47A4-4823-A191-86C6A0726618}" uniqueName="4" name="ProjectType" queryTableFieldId="4" dataDxfId="1"/>
    <tableColumn id="5" xr3:uid="{55A5995D-E272-47D4-A9D0-516020E0F1A5}" uniqueName="5" name="Amount" queryTableFieldId="5"/>
    <tableColumn id="6" xr3:uid="{C4CD89CD-C374-469C-A570-2A73CA339F1A}" uniqueName="6" name="Status" queryTableFieldId="6" dataDxfId="0"/>
    <tableColumn id="7" xr3:uid="{83C42D96-D40F-44D1-85F2-B7E779B019E5}" uniqueName="7" name="source" queryTableField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F2CFE1-879E-4BF4-B00C-B2F242873713}" name="Payable" displayName="Payable" ref="A1:H9" tableType="queryTable" totalsRowShown="0">
  <autoFilter ref="A1:H9" xr:uid="{F8F2CFE1-879E-4BF4-B00C-B2F242873713}"/>
  <tableColumns count="8">
    <tableColumn id="1" xr3:uid="{DE7CD159-D700-4C00-9E7B-33DCAD1BD3C9}" uniqueName="1" name="InvoiceID" queryTableFieldId="1" dataDxfId="11"/>
    <tableColumn id="2" xr3:uid="{A6A94F2F-9250-4768-B389-719AEAD2B4D7}" uniqueName="2" name="InvoiceDate" queryTableFieldId="2" dataDxfId="10"/>
    <tableColumn id="8" xr3:uid="{FE04B49C-1BCA-47A8-966E-681BB0E013E8}" uniqueName="8" name="Month" queryTableFieldId="8" dataDxfId="9"/>
    <tableColumn id="3" xr3:uid="{14BC7058-9863-4BF3-AC50-BEA2475FF2AE}" uniqueName="3" name="Vendor" queryTableFieldId="3" dataDxfId="8"/>
    <tableColumn id="4" xr3:uid="{B4E9E45C-F6C5-41F2-9BB9-9B46EF5000B1}" uniqueName="4" name="ExpenseType" queryTableFieldId="4" dataDxfId="7"/>
    <tableColumn id="5" xr3:uid="{1A38B82A-95AE-4EBD-B349-626DFE10FE41}" uniqueName="5" name="Amount" queryTableFieldId="5"/>
    <tableColumn id="6" xr3:uid="{0AEF5467-A765-4671-9092-29A26178D706}" uniqueName="6" name="Status" queryTableFieldId="6" dataDxfId="6"/>
    <tableColumn id="7" xr3:uid="{64714D37-8244-4FA9-A5F4-2E32F802F1B4}" uniqueName="7" name="Source"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F939-F33C-4DDB-9392-E046F09E3F97}">
  <dimension ref="A1:E14"/>
  <sheetViews>
    <sheetView workbookViewId="0">
      <selection activeCell="A7" sqref="A7:XFD7"/>
    </sheetView>
  </sheetViews>
  <sheetFormatPr defaultRowHeight="14.5" x14ac:dyDescent="0.35"/>
  <cols>
    <col min="1" max="1" width="9.08984375" bestFit="1" customWidth="1"/>
    <col min="2" max="2" width="8.36328125" bestFit="1" customWidth="1"/>
    <col min="3" max="3" width="19.7265625" bestFit="1" customWidth="1"/>
    <col min="4" max="4" width="9.6328125" bestFit="1" customWidth="1"/>
    <col min="5" max="5" width="17.26953125" customWidth="1"/>
    <col min="6" max="6" width="8.90625" bestFit="1" customWidth="1"/>
  </cols>
  <sheetData>
    <row r="1" spans="1:5" x14ac:dyDescent="0.35">
      <c r="A1" t="s">
        <v>0</v>
      </c>
      <c r="B1" t="s">
        <v>63</v>
      </c>
      <c r="C1" t="s">
        <v>1</v>
      </c>
      <c r="D1" t="s">
        <v>2</v>
      </c>
      <c r="E1" t="s">
        <v>26</v>
      </c>
    </row>
    <row r="2" spans="1:5" x14ac:dyDescent="0.35">
      <c r="A2" s="1">
        <v>46023</v>
      </c>
      <c r="B2" s="2" t="s">
        <v>64</v>
      </c>
      <c r="C2" s="2" t="s">
        <v>28</v>
      </c>
      <c r="D2">
        <v>520</v>
      </c>
      <c r="E2" t="s">
        <v>28</v>
      </c>
    </row>
    <row r="3" spans="1:5" x14ac:dyDescent="0.35">
      <c r="A3" s="1">
        <v>46029</v>
      </c>
      <c r="B3" s="2" t="s">
        <v>64</v>
      </c>
      <c r="C3" s="2" t="s">
        <v>46</v>
      </c>
      <c r="D3">
        <v>185</v>
      </c>
      <c r="E3" t="s">
        <v>29</v>
      </c>
    </row>
    <row r="4" spans="1:5" x14ac:dyDescent="0.35">
      <c r="A4" s="1">
        <v>46032</v>
      </c>
      <c r="B4" s="2" t="s">
        <v>64</v>
      </c>
      <c r="C4" s="2" t="s">
        <v>30</v>
      </c>
      <c r="D4">
        <v>-118.5</v>
      </c>
      <c r="E4" t="s">
        <v>31</v>
      </c>
    </row>
    <row r="5" spans="1:5" x14ac:dyDescent="0.35">
      <c r="A5" s="1">
        <v>46044</v>
      </c>
      <c r="B5" s="2" t="s">
        <v>64</v>
      </c>
      <c r="C5" s="2" t="s">
        <v>49</v>
      </c>
      <c r="D5">
        <v>210.75</v>
      </c>
      <c r="E5" t="s">
        <v>29</v>
      </c>
    </row>
    <row r="6" spans="1:5" x14ac:dyDescent="0.35">
      <c r="A6" s="1">
        <v>46047</v>
      </c>
      <c r="B6" s="2" t="s">
        <v>64</v>
      </c>
      <c r="C6" s="2" t="s">
        <v>32</v>
      </c>
      <c r="D6">
        <v>-95.25</v>
      </c>
      <c r="E6" t="s">
        <v>31</v>
      </c>
    </row>
    <row r="7" spans="1:5" x14ac:dyDescent="0.35">
      <c r="A7" s="1">
        <v>46060</v>
      </c>
      <c r="B7" s="2" t="s">
        <v>65</v>
      </c>
      <c r="C7" s="2" t="s">
        <v>51</v>
      </c>
      <c r="D7">
        <v>240</v>
      </c>
      <c r="E7" t="s">
        <v>29</v>
      </c>
    </row>
    <row r="8" spans="1:5" x14ac:dyDescent="0.35">
      <c r="A8" s="1">
        <v>46063</v>
      </c>
      <c r="B8" s="2" t="s">
        <v>65</v>
      </c>
      <c r="C8" s="2" t="s">
        <v>33</v>
      </c>
      <c r="D8">
        <v>-142.80000000000001</v>
      </c>
      <c r="E8" t="s">
        <v>31</v>
      </c>
    </row>
    <row r="9" spans="1:5" x14ac:dyDescent="0.35">
      <c r="A9" s="1">
        <v>46076</v>
      </c>
      <c r="B9" s="2" t="s">
        <v>65</v>
      </c>
      <c r="C9" s="2" t="s">
        <v>53</v>
      </c>
      <c r="D9">
        <v>165.5</v>
      </c>
      <c r="E9" t="s">
        <v>29</v>
      </c>
    </row>
    <row r="10" spans="1:5" x14ac:dyDescent="0.35">
      <c r="A10" s="1">
        <v>46079</v>
      </c>
      <c r="B10" s="2" t="s">
        <v>65</v>
      </c>
      <c r="C10" s="2" t="s">
        <v>34</v>
      </c>
      <c r="D10">
        <v>-165.9</v>
      </c>
      <c r="E10" t="s">
        <v>31</v>
      </c>
    </row>
    <row r="11" spans="1:5" x14ac:dyDescent="0.35">
      <c r="A11" s="1">
        <v>46091</v>
      </c>
      <c r="B11" s="2" t="s">
        <v>66</v>
      </c>
      <c r="C11" s="2" t="s">
        <v>55</v>
      </c>
      <c r="D11">
        <v>275.25</v>
      </c>
      <c r="E11" t="s">
        <v>29</v>
      </c>
    </row>
    <row r="12" spans="1:5" x14ac:dyDescent="0.35">
      <c r="A12" s="1">
        <v>46093</v>
      </c>
      <c r="B12" s="2" t="s">
        <v>66</v>
      </c>
      <c r="C12" s="2" t="s">
        <v>35</v>
      </c>
      <c r="D12">
        <v>-132.4</v>
      </c>
      <c r="E12" t="s">
        <v>31</v>
      </c>
    </row>
    <row r="13" spans="1:5" x14ac:dyDescent="0.35">
      <c r="A13" s="1">
        <v>46108</v>
      </c>
      <c r="B13" s="2" t="s">
        <v>66</v>
      </c>
      <c r="C13" s="2" t="s">
        <v>57</v>
      </c>
      <c r="D13">
        <v>320.60000000000002</v>
      </c>
      <c r="E13" t="s">
        <v>29</v>
      </c>
    </row>
    <row r="14" spans="1:5" x14ac:dyDescent="0.35">
      <c r="A14" s="1">
        <v>46110</v>
      </c>
      <c r="B14" s="2" t="s">
        <v>66</v>
      </c>
      <c r="C14" s="2" t="s">
        <v>36</v>
      </c>
      <c r="D14">
        <v>-158.75</v>
      </c>
      <c r="E14" t="s">
        <v>31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7377-2710-4B5C-B936-7A72E4F1EB85}">
  <dimension ref="A3:I49"/>
  <sheetViews>
    <sheetView zoomScale="85" zoomScaleNormal="85" workbookViewId="0">
      <selection activeCell="D4" sqref="D4"/>
    </sheetView>
  </sheetViews>
  <sheetFormatPr defaultRowHeight="14.5" x14ac:dyDescent="0.35"/>
  <cols>
    <col min="1" max="1" width="13.81640625" customWidth="1"/>
    <col min="2" max="2" width="23.26953125" bestFit="1" customWidth="1"/>
    <col min="3" max="3" width="8.7265625" customWidth="1"/>
    <col min="4" max="4" width="9.6328125" customWidth="1"/>
    <col min="5" max="5" width="13.453125" bestFit="1" customWidth="1"/>
    <col min="6" max="6" width="17.54296875" customWidth="1"/>
    <col min="7" max="7" width="11.6328125" bestFit="1" customWidth="1"/>
    <col min="8" max="8" width="12.26953125" bestFit="1" customWidth="1"/>
    <col min="9" max="9" width="13.90625" bestFit="1" customWidth="1"/>
  </cols>
  <sheetData>
    <row r="3" spans="1:9" x14ac:dyDescent="0.35">
      <c r="A3" s="10" t="s">
        <v>100</v>
      </c>
      <c r="B3" s="10" t="s">
        <v>78</v>
      </c>
      <c r="C3" s="10" t="s">
        <v>146</v>
      </c>
      <c r="D3" s="10" t="s">
        <v>147</v>
      </c>
      <c r="E3" s="10" t="s">
        <v>0</v>
      </c>
      <c r="F3" s="10" t="s">
        <v>1</v>
      </c>
      <c r="G3" s="10" t="s">
        <v>144</v>
      </c>
      <c r="H3" s="10" t="s">
        <v>145</v>
      </c>
      <c r="I3" s="10" t="s">
        <v>156</v>
      </c>
    </row>
    <row r="4" spans="1:9" x14ac:dyDescent="0.35">
      <c r="A4">
        <v>1000</v>
      </c>
      <c r="B4" s="12" t="s">
        <v>83</v>
      </c>
      <c r="C4" t="s">
        <v>64</v>
      </c>
      <c r="D4" t="s">
        <v>136</v>
      </c>
      <c r="E4" s="1">
        <v>46023</v>
      </c>
      <c r="F4" t="s">
        <v>94</v>
      </c>
      <c r="G4" s="8">
        <v>520</v>
      </c>
      <c r="H4" s="8"/>
      <c r="I4" s="8">
        <v>520</v>
      </c>
    </row>
    <row r="5" spans="1:9" x14ac:dyDescent="0.35">
      <c r="D5" t="s">
        <v>139</v>
      </c>
      <c r="G5" s="8">
        <v>185</v>
      </c>
      <c r="H5" s="8"/>
      <c r="I5" s="8">
        <v>185</v>
      </c>
    </row>
    <row r="6" spans="1:9" x14ac:dyDescent="0.35">
      <c r="D6" t="s">
        <v>140</v>
      </c>
      <c r="G6" s="8"/>
      <c r="H6" s="8">
        <v>118.5</v>
      </c>
      <c r="I6" s="8">
        <v>-118.5</v>
      </c>
    </row>
    <row r="7" spans="1:9" x14ac:dyDescent="0.35">
      <c r="D7" t="s">
        <v>142</v>
      </c>
      <c r="G7" s="8">
        <v>210.75</v>
      </c>
      <c r="H7" s="8"/>
      <c r="I7" s="8">
        <v>210.75</v>
      </c>
    </row>
    <row r="8" spans="1:9" x14ac:dyDescent="0.35">
      <c r="D8" t="s">
        <v>143</v>
      </c>
      <c r="G8" s="8"/>
      <c r="H8" s="8">
        <v>95.25</v>
      </c>
      <c r="I8" s="8">
        <v>-95.25</v>
      </c>
    </row>
    <row r="9" spans="1:9" x14ac:dyDescent="0.35">
      <c r="C9" t="s">
        <v>65</v>
      </c>
      <c r="G9" s="8">
        <v>405.5</v>
      </c>
      <c r="H9" s="8">
        <v>308.70000000000005</v>
      </c>
      <c r="I9" s="8">
        <v>96.799999999999955</v>
      </c>
    </row>
    <row r="10" spans="1:9" x14ac:dyDescent="0.35">
      <c r="C10" t="s">
        <v>66</v>
      </c>
      <c r="G10" s="8">
        <v>595.85</v>
      </c>
      <c r="H10" s="8">
        <v>291.14999999999998</v>
      </c>
      <c r="I10" s="8">
        <v>304.70000000000005</v>
      </c>
    </row>
    <row r="11" spans="1:9" x14ac:dyDescent="0.35">
      <c r="B11" s="10" t="s">
        <v>150</v>
      </c>
      <c r="C11" s="10"/>
      <c r="D11" s="10"/>
      <c r="E11" s="10"/>
      <c r="F11" s="10"/>
      <c r="G11" s="11">
        <v>1917.1</v>
      </c>
      <c r="H11" s="11">
        <v>813.6</v>
      </c>
      <c r="I11" s="11">
        <v>1103.5</v>
      </c>
    </row>
    <row r="12" spans="1:9" x14ac:dyDescent="0.35">
      <c r="G12" s="8"/>
      <c r="H12" s="8"/>
      <c r="I12" s="8"/>
    </row>
    <row r="13" spans="1:9" x14ac:dyDescent="0.35">
      <c r="A13">
        <v>1100</v>
      </c>
      <c r="B13" s="12" t="s">
        <v>99</v>
      </c>
      <c r="C13" t="s">
        <v>64</v>
      </c>
      <c r="D13" t="s">
        <v>137</v>
      </c>
      <c r="G13" s="8">
        <v>185</v>
      </c>
      <c r="H13" s="8"/>
      <c r="I13" s="8">
        <v>185</v>
      </c>
    </row>
    <row r="14" spans="1:9" x14ac:dyDescent="0.35">
      <c r="D14" t="s">
        <v>139</v>
      </c>
      <c r="G14" s="8"/>
      <c r="H14" s="8">
        <v>185</v>
      </c>
      <c r="I14" s="8">
        <v>-185</v>
      </c>
    </row>
    <row r="15" spans="1:9" x14ac:dyDescent="0.35">
      <c r="D15" t="s">
        <v>141</v>
      </c>
      <c r="G15" s="8">
        <v>210.75</v>
      </c>
      <c r="H15" s="8"/>
      <c r="I15" s="8">
        <v>210.75</v>
      </c>
    </row>
    <row r="16" spans="1:9" x14ac:dyDescent="0.35">
      <c r="D16" t="s">
        <v>142</v>
      </c>
      <c r="G16" s="8"/>
      <c r="H16" s="8">
        <v>210.75</v>
      </c>
      <c r="I16" s="8">
        <v>-210.75</v>
      </c>
    </row>
    <row r="17" spans="1:9" x14ac:dyDescent="0.35">
      <c r="C17" t="s">
        <v>65</v>
      </c>
      <c r="G17" s="8">
        <v>405.5</v>
      </c>
      <c r="H17" s="8">
        <v>405.5</v>
      </c>
      <c r="I17" s="8">
        <v>0</v>
      </c>
    </row>
    <row r="18" spans="1:9" x14ac:dyDescent="0.35">
      <c r="C18" t="s">
        <v>66</v>
      </c>
      <c r="G18" s="8">
        <v>595.85</v>
      </c>
      <c r="H18" s="8">
        <v>595.85</v>
      </c>
      <c r="I18" s="8">
        <v>0</v>
      </c>
    </row>
    <row r="19" spans="1:9" x14ac:dyDescent="0.35">
      <c r="B19" s="10" t="s">
        <v>149</v>
      </c>
      <c r="C19" s="10"/>
      <c r="D19" s="10"/>
      <c r="E19" s="10"/>
      <c r="F19" s="10"/>
      <c r="G19" s="11">
        <v>1397.1</v>
      </c>
      <c r="H19" s="11">
        <v>1397.1</v>
      </c>
      <c r="I19" s="11">
        <v>0</v>
      </c>
    </row>
    <row r="20" spans="1:9" x14ac:dyDescent="0.35">
      <c r="G20" s="8"/>
      <c r="H20" s="8"/>
      <c r="I20" s="8"/>
    </row>
    <row r="21" spans="1:9" x14ac:dyDescent="0.35">
      <c r="A21">
        <v>2000</v>
      </c>
      <c r="B21" s="12" t="s">
        <v>84</v>
      </c>
      <c r="C21" t="s">
        <v>64</v>
      </c>
      <c r="D21" t="s">
        <v>138</v>
      </c>
      <c r="G21" s="8"/>
      <c r="H21" s="8">
        <v>118.5</v>
      </c>
      <c r="I21" s="8">
        <v>-118.5</v>
      </c>
    </row>
    <row r="22" spans="1:9" x14ac:dyDescent="0.35">
      <c r="D22" t="s">
        <v>140</v>
      </c>
      <c r="G22" s="8">
        <v>118.5</v>
      </c>
      <c r="H22" s="8"/>
      <c r="I22" s="8">
        <v>118.5</v>
      </c>
    </row>
    <row r="23" spans="1:9" x14ac:dyDescent="0.35">
      <c r="D23" t="s">
        <v>142</v>
      </c>
      <c r="G23" s="8"/>
      <c r="H23" s="8">
        <v>95.25</v>
      </c>
      <c r="I23" s="8">
        <v>-95.25</v>
      </c>
    </row>
    <row r="24" spans="1:9" x14ac:dyDescent="0.35">
      <c r="D24" t="s">
        <v>143</v>
      </c>
      <c r="G24" s="8">
        <v>95.25</v>
      </c>
      <c r="H24" s="8"/>
      <c r="I24" s="8">
        <v>95.25</v>
      </c>
    </row>
    <row r="25" spans="1:9" x14ac:dyDescent="0.35">
      <c r="C25" t="s">
        <v>65</v>
      </c>
      <c r="G25" s="8">
        <v>308.70000000000005</v>
      </c>
      <c r="H25" s="8">
        <v>308.70000000000005</v>
      </c>
      <c r="I25" s="8">
        <v>0</v>
      </c>
    </row>
    <row r="26" spans="1:9" x14ac:dyDescent="0.35">
      <c r="C26" t="s">
        <v>66</v>
      </c>
      <c r="G26" s="8">
        <v>291.14999999999998</v>
      </c>
      <c r="H26" s="8">
        <v>291.14999999999998</v>
      </c>
      <c r="I26" s="8">
        <v>0</v>
      </c>
    </row>
    <row r="27" spans="1:9" x14ac:dyDescent="0.35">
      <c r="B27" s="10" t="s">
        <v>148</v>
      </c>
      <c r="C27" s="10"/>
      <c r="D27" s="10"/>
      <c r="E27" s="10"/>
      <c r="F27" s="10"/>
      <c r="G27" s="11">
        <v>813.6</v>
      </c>
      <c r="H27" s="11">
        <v>813.6</v>
      </c>
      <c r="I27" s="11">
        <v>0</v>
      </c>
    </row>
    <row r="28" spans="1:9" x14ac:dyDescent="0.35">
      <c r="G28" s="8"/>
      <c r="H28" s="8"/>
      <c r="I28" s="8"/>
    </row>
    <row r="29" spans="1:9" x14ac:dyDescent="0.35">
      <c r="A29">
        <v>3000</v>
      </c>
      <c r="B29" s="12" t="s">
        <v>85</v>
      </c>
      <c r="C29" t="s">
        <v>64</v>
      </c>
      <c r="D29" t="s">
        <v>136</v>
      </c>
      <c r="E29" s="1">
        <v>46023</v>
      </c>
      <c r="F29" t="s">
        <v>94</v>
      </c>
      <c r="G29" s="8"/>
      <c r="H29" s="8">
        <v>520</v>
      </c>
      <c r="I29" s="8">
        <v>-520</v>
      </c>
    </row>
    <row r="30" spans="1:9" x14ac:dyDescent="0.35">
      <c r="B30" s="10" t="s">
        <v>154</v>
      </c>
      <c r="C30" s="10"/>
      <c r="D30" s="10"/>
      <c r="E30" s="10"/>
      <c r="F30" s="10"/>
      <c r="G30" s="11"/>
      <c r="H30" s="11">
        <v>520</v>
      </c>
      <c r="I30" s="11">
        <v>-520</v>
      </c>
    </row>
    <row r="31" spans="1:9" x14ac:dyDescent="0.35">
      <c r="G31" s="8"/>
      <c r="H31" s="8"/>
      <c r="I31" s="8"/>
    </row>
    <row r="32" spans="1:9" x14ac:dyDescent="0.35">
      <c r="A32">
        <v>4000</v>
      </c>
      <c r="B32" s="12" t="s">
        <v>86</v>
      </c>
      <c r="C32" t="s">
        <v>64</v>
      </c>
      <c r="D32" t="s">
        <v>137</v>
      </c>
      <c r="G32" s="8"/>
      <c r="H32" s="8">
        <v>185</v>
      </c>
      <c r="I32" s="8">
        <v>-185</v>
      </c>
    </row>
    <row r="33" spans="1:9" x14ac:dyDescent="0.35">
      <c r="D33" t="s">
        <v>141</v>
      </c>
      <c r="G33" s="8"/>
      <c r="H33" s="8">
        <v>210.75</v>
      </c>
      <c r="I33" s="8">
        <v>-210.75</v>
      </c>
    </row>
    <row r="34" spans="1:9" x14ac:dyDescent="0.35">
      <c r="C34" t="s">
        <v>65</v>
      </c>
      <c r="G34" s="8"/>
      <c r="H34" s="8">
        <v>405.5</v>
      </c>
      <c r="I34" s="8">
        <v>-405.5</v>
      </c>
    </row>
    <row r="35" spans="1:9" x14ac:dyDescent="0.35">
      <c r="C35" t="s">
        <v>66</v>
      </c>
      <c r="G35" s="8"/>
      <c r="H35" s="8">
        <v>595.85</v>
      </c>
      <c r="I35" s="8">
        <v>-595.85</v>
      </c>
    </row>
    <row r="36" spans="1:9" x14ac:dyDescent="0.35">
      <c r="B36" s="10" t="s">
        <v>155</v>
      </c>
      <c r="C36" s="10"/>
      <c r="D36" s="10"/>
      <c r="E36" s="10"/>
      <c r="F36" s="10"/>
      <c r="G36" s="11"/>
      <c r="H36" s="11">
        <v>1397.1</v>
      </c>
      <c r="I36" s="11">
        <v>-1397.1</v>
      </c>
    </row>
    <row r="37" spans="1:9" x14ac:dyDescent="0.35">
      <c r="G37" s="8"/>
      <c r="H37" s="8"/>
      <c r="I37" s="8"/>
    </row>
    <row r="38" spans="1:9" x14ac:dyDescent="0.35">
      <c r="A38">
        <v>5000</v>
      </c>
      <c r="B38" s="12" t="s">
        <v>89</v>
      </c>
      <c r="C38" t="s">
        <v>64</v>
      </c>
      <c r="D38" t="s">
        <v>138</v>
      </c>
      <c r="G38" s="8">
        <v>118.5</v>
      </c>
      <c r="H38" s="8"/>
      <c r="I38" s="8">
        <v>118.5</v>
      </c>
    </row>
    <row r="39" spans="1:9" x14ac:dyDescent="0.35">
      <c r="C39" t="s">
        <v>65</v>
      </c>
      <c r="G39" s="8">
        <v>142.80000000000001</v>
      </c>
      <c r="H39" s="8"/>
      <c r="I39" s="8">
        <v>142.80000000000001</v>
      </c>
    </row>
    <row r="40" spans="1:9" x14ac:dyDescent="0.35">
      <c r="C40" t="s">
        <v>66</v>
      </c>
      <c r="G40" s="8">
        <v>291.14999999999998</v>
      </c>
      <c r="H40" s="8"/>
      <c r="I40" s="8">
        <v>291.14999999999998</v>
      </c>
    </row>
    <row r="41" spans="1:9" x14ac:dyDescent="0.35">
      <c r="B41" s="10" t="s">
        <v>153</v>
      </c>
      <c r="C41" s="10"/>
      <c r="D41" s="10"/>
      <c r="E41" s="10"/>
      <c r="F41" s="10"/>
      <c r="G41" s="11">
        <v>552.45000000000005</v>
      </c>
      <c r="H41" s="11"/>
      <c r="I41" s="11">
        <v>552.45000000000005</v>
      </c>
    </row>
    <row r="42" spans="1:9" x14ac:dyDescent="0.35">
      <c r="G42" s="8"/>
      <c r="H42" s="8"/>
      <c r="I42" s="8"/>
    </row>
    <row r="43" spans="1:9" x14ac:dyDescent="0.35">
      <c r="A43">
        <v>5100</v>
      </c>
      <c r="B43" s="12" t="s">
        <v>87</v>
      </c>
      <c r="C43" t="s">
        <v>65</v>
      </c>
      <c r="G43" s="8">
        <v>165.9</v>
      </c>
      <c r="H43" s="8"/>
      <c r="I43" s="8">
        <v>165.9</v>
      </c>
    </row>
    <row r="44" spans="1:9" x14ac:dyDescent="0.35">
      <c r="B44" s="10" t="s">
        <v>152</v>
      </c>
      <c r="C44" s="10"/>
      <c r="D44" s="10"/>
      <c r="E44" s="10"/>
      <c r="F44" s="10"/>
      <c r="G44" s="11">
        <v>165.9</v>
      </c>
      <c r="H44" s="11"/>
      <c r="I44" s="11">
        <v>165.9</v>
      </c>
    </row>
    <row r="45" spans="1:9" x14ac:dyDescent="0.35">
      <c r="G45" s="8"/>
      <c r="H45" s="8"/>
      <c r="I45" s="8"/>
    </row>
    <row r="46" spans="1:9" x14ac:dyDescent="0.35">
      <c r="A46">
        <v>5200</v>
      </c>
      <c r="B46" s="12" t="s">
        <v>88</v>
      </c>
      <c r="C46" t="s">
        <v>64</v>
      </c>
      <c r="D46" t="s">
        <v>142</v>
      </c>
      <c r="G46" s="8">
        <v>95.25</v>
      </c>
      <c r="H46" s="8"/>
      <c r="I46" s="8">
        <v>95.25</v>
      </c>
    </row>
    <row r="47" spans="1:9" x14ac:dyDescent="0.35">
      <c r="B47" s="10" t="s">
        <v>151</v>
      </c>
      <c r="C47" s="10"/>
      <c r="D47" s="10"/>
      <c r="E47" s="10"/>
      <c r="F47" s="10"/>
      <c r="G47" s="11">
        <v>95.25</v>
      </c>
      <c r="H47" s="11"/>
      <c r="I47" s="11">
        <v>95.25</v>
      </c>
    </row>
    <row r="48" spans="1:9" x14ac:dyDescent="0.35">
      <c r="G48" s="8"/>
      <c r="H48" s="8"/>
      <c r="I48" s="8"/>
    </row>
    <row r="49" spans="1:9" x14ac:dyDescent="0.35">
      <c r="A49" s="10" t="s">
        <v>135</v>
      </c>
      <c r="B49" s="10"/>
      <c r="C49" s="10"/>
      <c r="D49" s="10"/>
      <c r="E49" s="10"/>
      <c r="F49" s="10"/>
      <c r="G49" s="11">
        <v>4941.3999999999987</v>
      </c>
      <c r="H49" s="11">
        <v>4941.3999999999996</v>
      </c>
      <c r="I49" s="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4E1E-3D6F-4168-AA16-AE423A542A88}">
  <dimension ref="A1:G53"/>
  <sheetViews>
    <sheetView tabSelected="1" workbookViewId="0">
      <pane ySplit="2" topLeftCell="A6" activePane="bottomLeft" state="frozen"/>
      <selection pane="bottomLeft" activeCell="D5" sqref="D5"/>
    </sheetView>
  </sheetViews>
  <sheetFormatPr defaultRowHeight="14.5" x14ac:dyDescent="0.35"/>
  <cols>
    <col min="1" max="1" width="9.08984375" bestFit="1" customWidth="1"/>
    <col min="2" max="2" width="17" bestFit="1" customWidth="1"/>
    <col min="3" max="3" width="18.26953125" customWidth="1"/>
    <col min="4" max="4" width="33.1796875" customWidth="1"/>
    <col min="6" max="6" width="15.90625" style="8" customWidth="1"/>
    <col min="7" max="7" width="13.1796875" style="8" customWidth="1"/>
  </cols>
  <sheetData>
    <row r="1" spans="1:7" ht="36.5" customHeight="1" x14ac:dyDescent="0.85">
      <c r="A1" s="13" t="s">
        <v>91</v>
      </c>
      <c r="B1" s="13"/>
      <c r="C1" s="13"/>
      <c r="D1" s="13"/>
      <c r="E1" s="13"/>
      <c r="F1" s="13"/>
      <c r="G1" s="13"/>
    </row>
    <row r="2" spans="1:7" x14ac:dyDescent="0.35">
      <c r="A2" s="7" t="s">
        <v>0</v>
      </c>
      <c r="B2" s="7" t="s">
        <v>100</v>
      </c>
      <c r="C2" s="6" t="s">
        <v>78</v>
      </c>
      <c r="D2" s="6" t="s">
        <v>1</v>
      </c>
      <c r="E2" s="6" t="s">
        <v>98</v>
      </c>
      <c r="F2" s="9" t="s">
        <v>92</v>
      </c>
      <c r="G2" s="9" t="s">
        <v>93</v>
      </c>
    </row>
    <row r="3" spans="1:7" x14ac:dyDescent="0.35">
      <c r="A3" s="1">
        <v>46023</v>
      </c>
      <c r="B3" s="2">
        <f>_xlfn.XLOOKUP(Journal_Entries[[#This Row],[Account]],'Chart Of Accounts'!E:E,'Chart Of Accounts'!D:D)</f>
        <v>1000</v>
      </c>
      <c r="C3" t="s">
        <v>83</v>
      </c>
      <c r="D3" t="s">
        <v>94</v>
      </c>
      <c r="E3" t="s">
        <v>95</v>
      </c>
      <c r="F3" s="8">
        <v>520</v>
      </c>
    </row>
    <row r="4" spans="1:7" x14ac:dyDescent="0.35">
      <c r="A4" s="1">
        <v>46023</v>
      </c>
      <c r="B4" s="2">
        <f>_xlfn.XLOOKUP(Journal_Entries[[#This Row],[Account]],'Chart Of Accounts'!E:E,'Chart Of Accounts'!D:D)</f>
        <v>3000</v>
      </c>
      <c r="C4" t="s">
        <v>85</v>
      </c>
      <c r="D4" t="s">
        <v>94</v>
      </c>
      <c r="E4" t="s">
        <v>95</v>
      </c>
      <c r="G4" s="8">
        <v>520</v>
      </c>
    </row>
    <row r="5" spans="1:7" x14ac:dyDescent="0.35">
      <c r="A5" s="1">
        <v>46025</v>
      </c>
      <c r="B5" s="2">
        <f>_xlfn.XLOOKUP(Journal_Entries[[#This Row],[Account]],'Chart Of Accounts'!E:E,'Chart Of Accounts'!D:D)</f>
        <v>1100</v>
      </c>
      <c r="C5" t="s">
        <v>99</v>
      </c>
      <c r="D5" t="s">
        <v>96</v>
      </c>
      <c r="E5">
        <v>1</v>
      </c>
      <c r="F5" s="8">
        <v>185</v>
      </c>
    </row>
    <row r="6" spans="1:7" x14ac:dyDescent="0.35">
      <c r="A6" s="1">
        <v>46025</v>
      </c>
      <c r="B6" s="2">
        <f>_xlfn.XLOOKUP(Journal_Entries[[#This Row],[Account]],'Chart Of Accounts'!E:E,'Chart Of Accounts'!D:D)</f>
        <v>4000</v>
      </c>
      <c r="C6" t="s">
        <v>86</v>
      </c>
      <c r="D6" t="s">
        <v>97</v>
      </c>
      <c r="E6">
        <v>1</v>
      </c>
      <c r="G6" s="8">
        <v>185</v>
      </c>
    </row>
    <row r="7" spans="1:7" x14ac:dyDescent="0.35">
      <c r="A7" s="1">
        <v>46027</v>
      </c>
      <c r="B7" s="2">
        <f>_xlfn.XLOOKUP(Journal_Entries[[#This Row],[Account]],'Chart Of Accounts'!E:E,'Chart Of Accounts'!D:D)</f>
        <v>2000</v>
      </c>
      <c r="C7" t="s">
        <v>84</v>
      </c>
      <c r="D7" t="s">
        <v>101</v>
      </c>
      <c r="E7">
        <v>2</v>
      </c>
      <c r="G7" s="8">
        <v>118.5</v>
      </c>
    </row>
    <row r="8" spans="1:7" x14ac:dyDescent="0.35">
      <c r="A8" s="1">
        <v>46027</v>
      </c>
      <c r="B8" s="2">
        <f>_xlfn.XLOOKUP(Journal_Entries[[#This Row],[Account]],'Chart Of Accounts'!E:E,'Chart Of Accounts'!D:D)</f>
        <v>5000</v>
      </c>
      <c r="C8" t="s">
        <v>89</v>
      </c>
      <c r="D8" t="s">
        <v>102</v>
      </c>
      <c r="E8">
        <v>2</v>
      </c>
      <c r="F8" s="8">
        <v>118.5</v>
      </c>
    </row>
    <row r="9" spans="1:7" x14ac:dyDescent="0.35">
      <c r="A9" s="1">
        <v>46029</v>
      </c>
      <c r="B9" s="2">
        <f>_xlfn.XLOOKUP(Journal_Entries[[#This Row],[Account]],'Chart Of Accounts'!E:E,'Chart Of Accounts'!D:D)</f>
        <v>1000</v>
      </c>
      <c r="C9" t="s">
        <v>83</v>
      </c>
      <c r="D9" t="s">
        <v>103</v>
      </c>
      <c r="E9">
        <v>3</v>
      </c>
      <c r="F9" s="8">
        <v>185</v>
      </c>
    </row>
    <row r="10" spans="1:7" x14ac:dyDescent="0.35">
      <c r="A10" s="1">
        <v>46029</v>
      </c>
      <c r="B10" s="2">
        <v>1100</v>
      </c>
      <c r="C10" t="s">
        <v>99</v>
      </c>
      <c r="D10" t="s">
        <v>96</v>
      </c>
      <c r="E10">
        <v>3</v>
      </c>
      <c r="G10" s="8">
        <v>185</v>
      </c>
    </row>
    <row r="11" spans="1:7" x14ac:dyDescent="0.35">
      <c r="A11" s="1">
        <v>46032</v>
      </c>
      <c r="B11" s="2">
        <v>1000</v>
      </c>
      <c r="C11" t="s">
        <v>83</v>
      </c>
      <c r="D11" t="s">
        <v>110</v>
      </c>
      <c r="E11">
        <v>4</v>
      </c>
      <c r="G11" s="8">
        <v>118.5</v>
      </c>
    </row>
    <row r="12" spans="1:7" x14ac:dyDescent="0.35">
      <c r="A12" s="1">
        <v>46032</v>
      </c>
      <c r="B12" s="2">
        <f>_xlfn.XLOOKUP(Journal_Entries[[#This Row],[Account]],'Chart Of Accounts'!E:E,'Chart Of Accounts'!D:D)</f>
        <v>2000</v>
      </c>
      <c r="C12" t="s">
        <v>84</v>
      </c>
      <c r="D12" t="s">
        <v>101</v>
      </c>
      <c r="E12">
        <v>4</v>
      </c>
      <c r="F12" s="8">
        <v>118.5</v>
      </c>
    </row>
    <row r="13" spans="1:7" x14ac:dyDescent="0.35">
      <c r="A13" s="1">
        <v>46040</v>
      </c>
      <c r="B13" s="2">
        <f>_xlfn.XLOOKUP(Journal_Entries[[#This Row],[Account]],'Chart Of Accounts'!E:E,'Chart Of Accounts'!D:D)</f>
        <v>1100</v>
      </c>
      <c r="C13" t="s">
        <v>99</v>
      </c>
      <c r="D13" t="s">
        <v>104</v>
      </c>
      <c r="E13">
        <v>5</v>
      </c>
      <c r="F13" s="8">
        <v>210.75</v>
      </c>
    </row>
    <row r="14" spans="1:7" x14ac:dyDescent="0.35">
      <c r="A14" s="1">
        <v>46040</v>
      </c>
      <c r="B14" s="2">
        <f>_xlfn.XLOOKUP(Journal_Entries[[#This Row],[Account]],'Chart Of Accounts'!E:E,'Chart Of Accounts'!D:D)</f>
        <v>4000</v>
      </c>
      <c r="C14" t="s">
        <v>86</v>
      </c>
      <c r="D14" t="s">
        <v>105</v>
      </c>
      <c r="E14">
        <v>5</v>
      </c>
      <c r="G14" s="8">
        <v>210.75</v>
      </c>
    </row>
    <row r="15" spans="1:7" x14ac:dyDescent="0.35">
      <c r="A15" s="1">
        <v>46044</v>
      </c>
      <c r="B15" s="2">
        <f>_xlfn.XLOOKUP(Journal_Entries[[#This Row],[Account]],'Chart Of Accounts'!E:E,'Chart Of Accounts'!D:D)</f>
        <v>1000</v>
      </c>
      <c r="C15" t="s">
        <v>83</v>
      </c>
      <c r="D15" t="s">
        <v>106</v>
      </c>
      <c r="E15">
        <v>6</v>
      </c>
      <c r="F15" s="8">
        <v>210.75</v>
      </c>
    </row>
    <row r="16" spans="1:7" x14ac:dyDescent="0.35">
      <c r="A16" s="1">
        <v>46044</v>
      </c>
      <c r="B16" s="2">
        <f>_xlfn.XLOOKUP(Journal_Entries[[#This Row],[Account]],'Chart Of Accounts'!E:E,'Chart Of Accounts'!D:D)</f>
        <v>1100</v>
      </c>
      <c r="C16" t="s">
        <v>99</v>
      </c>
      <c r="D16" t="s">
        <v>104</v>
      </c>
      <c r="E16">
        <v>6</v>
      </c>
      <c r="G16" s="8">
        <v>210.75</v>
      </c>
    </row>
    <row r="17" spans="1:7" x14ac:dyDescent="0.35">
      <c r="A17" s="1">
        <v>46044</v>
      </c>
      <c r="B17" s="2">
        <f>_xlfn.XLOOKUP(Journal_Entries[[#This Row],[Account]],'Chart Of Accounts'!E:E,'Chart Of Accounts'!D:D)</f>
        <v>2000</v>
      </c>
      <c r="C17" t="s">
        <v>84</v>
      </c>
      <c r="D17" t="s">
        <v>107</v>
      </c>
      <c r="E17">
        <v>7</v>
      </c>
      <c r="G17" s="8">
        <v>95.25</v>
      </c>
    </row>
    <row r="18" spans="1:7" x14ac:dyDescent="0.35">
      <c r="A18" s="1">
        <v>46044</v>
      </c>
      <c r="B18" s="2">
        <f>_xlfn.XLOOKUP(Journal_Entries[[#This Row],[Account]],'Chart Of Accounts'!E:E,'Chart Of Accounts'!D:D)</f>
        <v>5200</v>
      </c>
      <c r="C18" t="s">
        <v>88</v>
      </c>
      <c r="D18" t="s">
        <v>108</v>
      </c>
      <c r="E18">
        <v>7</v>
      </c>
      <c r="F18" s="8">
        <v>95.25</v>
      </c>
    </row>
    <row r="19" spans="1:7" x14ac:dyDescent="0.35">
      <c r="A19" s="1">
        <v>46047</v>
      </c>
      <c r="B19" s="2">
        <f>_xlfn.XLOOKUP(Journal_Entries[[#This Row],[Account]],'Chart Of Accounts'!E:E,'Chart Of Accounts'!D:D)</f>
        <v>1000</v>
      </c>
      <c r="C19" t="s">
        <v>83</v>
      </c>
      <c r="D19" t="s">
        <v>109</v>
      </c>
      <c r="E19">
        <v>8</v>
      </c>
      <c r="G19" s="8">
        <v>95.25</v>
      </c>
    </row>
    <row r="20" spans="1:7" x14ac:dyDescent="0.35">
      <c r="A20" s="1">
        <v>46047</v>
      </c>
      <c r="B20" s="2">
        <f>_xlfn.XLOOKUP(Journal_Entries[[#This Row],[Account]],'Chart Of Accounts'!E:E,'Chart Of Accounts'!D:D)</f>
        <v>2000</v>
      </c>
      <c r="C20" t="s">
        <v>84</v>
      </c>
      <c r="D20" t="s">
        <v>107</v>
      </c>
      <c r="E20">
        <v>8</v>
      </c>
      <c r="F20" s="8">
        <v>95.25</v>
      </c>
    </row>
    <row r="21" spans="1:7" x14ac:dyDescent="0.35">
      <c r="A21" s="1">
        <v>46057</v>
      </c>
      <c r="B21" s="2">
        <f>_xlfn.XLOOKUP(Journal_Entries[[#This Row],[Account]],'Chart Of Accounts'!E:E,'Chart Of Accounts'!D:D)</f>
        <v>1100</v>
      </c>
      <c r="C21" t="s">
        <v>99</v>
      </c>
      <c r="D21" t="s">
        <v>111</v>
      </c>
      <c r="E21">
        <v>9</v>
      </c>
      <c r="F21" s="8">
        <v>240</v>
      </c>
    </row>
    <row r="22" spans="1:7" x14ac:dyDescent="0.35">
      <c r="A22" s="1">
        <v>46057</v>
      </c>
      <c r="B22" s="2">
        <f>_xlfn.XLOOKUP(Journal_Entries[[#This Row],[Account]],'Chart Of Accounts'!E:E,'Chart Of Accounts'!D:D)</f>
        <v>4000</v>
      </c>
      <c r="C22" t="s">
        <v>86</v>
      </c>
      <c r="D22" t="s">
        <v>112</v>
      </c>
      <c r="E22">
        <v>9</v>
      </c>
      <c r="G22" s="8">
        <v>240</v>
      </c>
    </row>
    <row r="23" spans="1:7" x14ac:dyDescent="0.35">
      <c r="A23" s="1">
        <v>46059</v>
      </c>
      <c r="B23" s="2">
        <f>_xlfn.XLOOKUP(Journal_Entries[[#This Row],[Account]],'Chart Of Accounts'!E:E,'Chart Of Accounts'!D:D)</f>
        <v>2000</v>
      </c>
      <c r="C23" t="s">
        <v>84</v>
      </c>
      <c r="D23" t="s">
        <v>113</v>
      </c>
      <c r="E23">
        <v>10</v>
      </c>
      <c r="G23" s="8">
        <v>142.80000000000001</v>
      </c>
    </row>
    <row r="24" spans="1:7" x14ac:dyDescent="0.35">
      <c r="A24" s="1">
        <v>46059</v>
      </c>
      <c r="B24" s="2">
        <f>_xlfn.XLOOKUP(Journal_Entries[[#This Row],[Account]],'Chart Of Accounts'!E:E,'Chart Of Accounts'!D:D)</f>
        <v>5000</v>
      </c>
      <c r="C24" t="s">
        <v>89</v>
      </c>
      <c r="D24" t="s">
        <v>114</v>
      </c>
      <c r="E24">
        <v>10</v>
      </c>
      <c r="F24" s="8">
        <v>142.80000000000001</v>
      </c>
    </row>
    <row r="25" spans="1:7" x14ac:dyDescent="0.35">
      <c r="A25" s="1">
        <v>46060</v>
      </c>
      <c r="B25" s="2">
        <f>_xlfn.XLOOKUP(Journal_Entries[[#This Row],[Account]],'Chart Of Accounts'!E:E,'Chart Of Accounts'!D:D)</f>
        <v>1000</v>
      </c>
      <c r="C25" t="s">
        <v>83</v>
      </c>
      <c r="D25" t="s">
        <v>115</v>
      </c>
      <c r="E25">
        <v>11</v>
      </c>
      <c r="F25" s="8">
        <v>240</v>
      </c>
    </row>
    <row r="26" spans="1:7" x14ac:dyDescent="0.35">
      <c r="A26" s="1">
        <v>46060</v>
      </c>
      <c r="B26" s="2">
        <f>_xlfn.XLOOKUP(Journal_Entries[[#This Row],[Account]],'Chart Of Accounts'!E:E,'Chart Of Accounts'!D:D)</f>
        <v>1100</v>
      </c>
      <c r="C26" t="s">
        <v>99</v>
      </c>
      <c r="D26" t="s">
        <v>111</v>
      </c>
      <c r="E26">
        <v>11</v>
      </c>
      <c r="G26" s="8">
        <v>240</v>
      </c>
    </row>
    <row r="27" spans="1:7" x14ac:dyDescent="0.35">
      <c r="A27" s="1">
        <v>46063</v>
      </c>
      <c r="B27" s="2">
        <f>_xlfn.XLOOKUP(Journal_Entries[[#This Row],[Account]],'Chart Of Accounts'!E:E,'Chart Of Accounts'!D:D)</f>
        <v>1000</v>
      </c>
      <c r="C27" t="s">
        <v>83</v>
      </c>
      <c r="D27" t="s">
        <v>109</v>
      </c>
      <c r="E27">
        <v>12</v>
      </c>
      <c r="G27" s="8">
        <v>142.80000000000001</v>
      </c>
    </row>
    <row r="28" spans="1:7" x14ac:dyDescent="0.35">
      <c r="A28" s="1">
        <v>46063</v>
      </c>
      <c r="B28" s="2">
        <f>_xlfn.XLOOKUP(Journal_Entries[[#This Row],[Account]],'Chart Of Accounts'!E:E,'Chart Of Accounts'!D:D)</f>
        <v>2000</v>
      </c>
      <c r="C28" t="s">
        <v>84</v>
      </c>
      <c r="D28" t="s">
        <v>113</v>
      </c>
      <c r="E28">
        <v>12</v>
      </c>
      <c r="F28" s="8">
        <v>142.80000000000001</v>
      </c>
    </row>
    <row r="29" spans="1:7" x14ac:dyDescent="0.35">
      <c r="A29" s="1">
        <v>46073</v>
      </c>
      <c r="B29" s="2">
        <f>_xlfn.XLOOKUP(Journal_Entries[[#This Row],[Account]],'Chart Of Accounts'!E:E,'Chart Of Accounts'!D:D)</f>
        <v>1100</v>
      </c>
      <c r="C29" t="s">
        <v>99</v>
      </c>
      <c r="D29" t="s">
        <v>116</v>
      </c>
      <c r="E29">
        <v>13</v>
      </c>
      <c r="F29" s="8">
        <v>165.5</v>
      </c>
    </row>
    <row r="30" spans="1:7" x14ac:dyDescent="0.35">
      <c r="A30" s="1">
        <v>46073</v>
      </c>
      <c r="B30" s="2">
        <f>_xlfn.XLOOKUP(Journal_Entries[[#This Row],[Account]],'Chart Of Accounts'!E:E,'Chart Of Accounts'!D:D)</f>
        <v>4000</v>
      </c>
      <c r="C30" t="s">
        <v>86</v>
      </c>
      <c r="D30" t="s">
        <v>117</v>
      </c>
      <c r="E30">
        <v>13</v>
      </c>
      <c r="G30" s="8">
        <v>165.5</v>
      </c>
    </row>
    <row r="31" spans="1:7" x14ac:dyDescent="0.35">
      <c r="A31" s="1">
        <v>46076</v>
      </c>
      <c r="B31" s="2">
        <f>_xlfn.XLOOKUP(Journal_Entries[[#This Row],[Account]],'Chart Of Accounts'!E:E,'Chart Of Accounts'!D:D)</f>
        <v>1000</v>
      </c>
      <c r="C31" t="s">
        <v>83</v>
      </c>
      <c r="D31" t="s">
        <v>118</v>
      </c>
      <c r="E31">
        <v>14</v>
      </c>
      <c r="F31" s="8">
        <v>165.5</v>
      </c>
    </row>
    <row r="32" spans="1:7" x14ac:dyDescent="0.35">
      <c r="A32" s="1">
        <v>46076</v>
      </c>
      <c r="B32" s="2">
        <f>_xlfn.XLOOKUP(Journal_Entries[[#This Row],[Account]],'Chart Of Accounts'!E:E,'Chart Of Accounts'!D:D)</f>
        <v>1100</v>
      </c>
      <c r="C32" t="s">
        <v>99</v>
      </c>
      <c r="D32" t="s">
        <v>116</v>
      </c>
      <c r="E32">
        <v>14</v>
      </c>
      <c r="G32" s="8">
        <v>165.5</v>
      </c>
    </row>
    <row r="33" spans="1:7" x14ac:dyDescent="0.35">
      <c r="A33" s="1">
        <v>46078</v>
      </c>
      <c r="B33" s="2">
        <f>_xlfn.XLOOKUP(Journal_Entries[[#This Row],[Account]],'Chart Of Accounts'!E:E,'Chart Of Accounts'!D:D)</f>
        <v>2000</v>
      </c>
      <c r="C33" t="s">
        <v>84</v>
      </c>
      <c r="D33" t="s">
        <v>119</v>
      </c>
      <c r="E33">
        <v>15</v>
      </c>
      <c r="G33" s="8">
        <v>165.9</v>
      </c>
    </row>
    <row r="34" spans="1:7" x14ac:dyDescent="0.35">
      <c r="A34" s="1">
        <v>46078</v>
      </c>
      <c r="B34" s="2">
        <f>_xlfn.XLOOKUP(Journal_Entries[[#This Row],[Account]],'Chart Of Accounts'!E:E,'Chart Of Accounts'!D:D)</f>
        <v>5100</v>
      </c>
      <c r="C34" t="s">
        <v>87</v>
      </c>
      <c r="D34" t="s">
        <v>120</v>
      </c>
      <c r="E34">
        <v>15</v>
      </c>
      <c r="F34" s="8">
        <v>165.9</v>
      </c>
    </row>
    <row r="35" spans="1:7" x14ac:dyDescent="0.35">
      <c r="A35" s="1">
        <v>46079</v>
      </c>
      <c r="B35" s="2">
        <f>_xlfn.XLOOKUP(Journal_Entries[[#This Row],[Account]],'Chart Of Accounts'!E:E,'Chart Of Accounts'!D:D)</f>
        <v>1000</v>
      </c>
      <c r="C35" t="s">
        <v>83</v>
      </c>
      <c r="D35" t="s">
        <v>121</v>
      </c>
      <c r="E35">
        <v>16</v>
      </c>
      <c r="G35" s="8">
        <v>165.9</v>
      </c>
    </row>
    <row r="36" spans="1:7" x14ac:dyDescent="0.35">
      <c r="A36" s="1">
        <v>46079</v>
      </c>
      <c r="B36" s="2">
        <f>_xlfn.XLOOKUP(Journal_Entries[[#This Row],[Account]],'Chart Of Accounts'!E:E,'Chart Of Accounts'!D:D)</f>
        <v>2000</v>
      </c>
      <c r="C36" t="s">
        <v>84</v>
      </c>
      <c r="D36" t="s">
        <v>119</v>
      </c>
      <c r="E36">
        <v>16</v>
      </c>
      <c r="F36" s="8">
        <v>165.9</v>
      </c>
    </row>
    <row r="37" spans="1:7" x14ac:dyDescent="0.35">
      <c r="A37" s="1">
        <v>46086</v>
      </c>
      <c r="B37" s="2">
        <f>_xlfn.XLOOKUP(Journal_Entries[[#This Row],[Account]],'Chart Of Accounts'!E:E,'Chart Of Accounts'!D:D)</f>
        <v>1100</v>
      </c>
      <c r="C37" t="s">
        <v>99</v>
      </c>
      <c r="D37" t="s">
        <v>122</v>
      </c>
      <c r="E37">
        <v>17</v>
      </c>
      <c r="F37" s="8">
        <v>275.25</v>
      </c>
    </row>
    <row r="38" spans="1:7" x14ac:dyDescent="0.35">
      <c r="A38" s="1">
        <v>46086</v>
      </c>
      <c r="B38" s="2">
        <f>_xlfn.XLOOKUP(Journal_Entries[[#This Row],[Account]],'Chart Of Accounts'!E:E,'Chart Of Accounts'!D:D)</f>
        <v>4000</v>
      </c>
      <c r="C38" t="s">
        <v>86</v>
      </c>
      <c r="D38" t="s">
        <v>123</v>
      </c>
      <c r="E38">
        <v>17</v>
      </c>
      <c r="G38" s="8">
        <v>275.25</v>
      </c>
    </row>
    <row r="39" spans="1:7" x14ac:dyDescent="0.35">
      <c r="A39" s="1">
        <v>46089</v>
      </c>
      <c r="B39" s="2">
        <f>_xlfn.XLOOKUP(Journal_Entries[[#This Row],[Account]],'Chart Of Accounts'!E:E,'Chart Of Accounts'!D:D)</f>
        <v>2000</v>
      </c>
      <c r="C39" t="s">
        <v>84</v>
      </c>
      <c r="D39" t="s">
        <v>124</v>
      </c>
      <c r="E39">
        <v>18</v>
      </c>
      <c r="G39" s="8">
        <v>132.4</v>
      </c>
    </row>
    <row r="40" spans="1:7" x14ac:dyDescent="0.35">
      <c r="A40" s="1">
        <v>46089</v>
      </c>
      <c r="B40" s="2">
        <f>_xlfn.XLOOKUP(Journal_Entries[[#This Row],[Account]],'Chart Of Accounts'!E:E,'Chart Of Accounts'!D:D)</f>
        <v>5000</v>
      </c>
      <c r="C40" t="s">
        <v>89</v>
      </c>
      <c r="D40" t="s">
        <v>125</v>
      </c>
      <c r="E40">
        <v>18</v>
      </c>
      <c r="F40" s="8">
        <v>132.4</v>
      </c>
    </row>
    <row r="41" spans="1:7" x14ac:dyDescent="0.35">
      <c r="A41" s="1">
        <v>46091</v>
      </c>
      <c r="B41" s="2">
        <f>_xlfn.XLOOKUP(Journal_Entries[[#This Row],[Account]],'Chart Of Accounts'!E:E,'Chart Of Accounts'!D:D)</f>
        <v>1000</v>
      </c>
      <c r="C41" t="s">
        <v>83</v>
      </c>
      <c r="D41" t="s">
        <v>122</v>
      </c>
      <c r="E41">
        <v>19</v>
      </c>
      <c r="F41" s="8">
        <v>275.25</v>
      </c>
    </row>
    <row r="42" spans="1:7" x14ac:dyDescent="0.35">
      <c r="A42" s="1">
        <v>46091</v>
      </c>
      <c r="B42" s="2">
        <f>_xlfn.XLOOKUP(Journal_Entries[[#This Row],[Account]],'Chart Of Accounts'!E:E,'Chart Of Accounts'!D:D)</f>
        <v>1100</v>
      </c>
      <c r="C42" t="s">
        <v>99</v>
      </c>
      <c r="D42" t="s">
        <v>122</v>
      </c>
      <c r="E42">
        <v>19</v>
      </c>
      <c r="G42" s="8">
        <v>275.25</v>
      </c>
    </row>
    <row r="43" spans="1:7" x14ac:dyDescent="0.35">
      <c r="A43" s="1">
        <v>46093</v>
      </c>
      <c r="B43" s="2">
        <f>_xlfn.XLOOKUP(Journal_Entries[[#This Row],[Account]],'Chart Of Accounts'!E:E,'Chart Of Accounts'!D:D)</f>
        <v>1000</v>
      </c>
      <c r="C43" t="s">
        <v>83</v>
      </c>
      <c r="D43" t="s">
        <v>126</v>
      </c>
      <c r="E43">
        <v>20</v>
      </c>
      <c r="G43" s="8">
        <v>132.4</v>
      </c>
    </row>
    <row r="44" spans="1:7" x14ac:dyDescent="0.35">
      <c r="A44" s="1">
        <v>46093</v>
      </c>
      <c r="B44" s="2">
        <f>_xlfn.XLOOKUP(Journal_Entries[[#This Row],[Account]],'Chart Of Accounts'!E:E,'Chart Of Accounts'!D:D)</f>
        <v>2000</v>
      </c>
      <c r="C44" t="s">
        <v>84</v>
      </c>
      <c r="D44" t="s">
        <v>127</v>
      </c>
      <c r="E44">
        <v>20</v>
      </c>
      <c r="F44" s="8">
        <v>132.4</v>
      </c>
    </row>
    <row r="45" spans="1:7" x14ac:dyDescent="0.35">
      <c r="A45" s="1">
        <v>46103</v>
      </c>
      <c r="B45" s="2">
        <f>_xlfn.XLOOKUP(Journal_Entries[[#This Row],[Account]],'Chart Of Accounts'!E:E,'Chart Of Accounts'!D:D)</f>
        <v>1100</v>
      </c>
      <c r="C45" t="s">
        <v>99</v>
      </c>
      <c r="D45" t="s">
        <v>128</v>
      </c>
      <c r="E45">
        <v>21</v>
      </c>
      <c r="F45" s="8">
        <v>320.60000000000002</v>
      </c>
    </row>
    <row r="46" spans="1:7" x14ac:dyDescent="0.35">
      <c r="A46" s="1">
        <v>46103</v>
      </c>
      <c r="B46" s="2">
        <f>_xlfn.XLOOKUP(Journal_Entries[[#This Row],[Account]],'Chart Of Accounts'!E:E,'Chart Of Accounts'!D:D)</f>
        <v>4000</v>
      </c>
      <c r="C46" t="s">
        <v>86</v>
      </c>
      <c r="D46" t="s">
        <v>129</v>
      </c>
      <c r="E46">
        <v>21</v>
      </c>
      <c r="G46" s="8">
        <v>320.60000000000002</v>
      </c>
    </row>
    <row r="47" spans="1:7" x14ac:dyDescent="0.35">
      <c r="A47" s="1">
        <v>46106</v>
      </c>
      <c r="B47" s="2">
        <f>_xlfn.XLOOKUP(Journal_Entries[[#This Row],[Account]],'Chart Of Accounts'!E:E,'Chart Of Accounts'!D:D)</f>
        <v>2000</v>
      </c>
      <c r="C47" t="s">
        <v>84</v>
      </c>
      <c r="D47" t="s">
        <v>130</v>
      </c>
      <c r="E47">
        <v>22</v>
      </c>
      <c r="G47" s="8">
        <v>158.75</v>
      </c>
    </row>
    <row r="48" spans="1:7" x14ac:dyDescent="0.35">
      <c r="A48" s="1">
        <v>46106</v>
      </c>
      <c r="B48" s="2">
        <f>_xlfn.XLOOKUP(Journal_Entries[[#This Row],[Account]],'Chart Of Accounts'!E:E,'Chart Of Accounts'!D:D)</f>
        <v>5000</v>
      </c>
      <c r="C48" t="s">
        <v>89</v>
      </c>
      <c r="D48" t="s">
        <v>131</v>
      </c>
      <c r="E48">
        <v>22</v>
      </c>
      <c r="F48" s="8">
        <v>158.75</v>
      </c>
    </row>
    <row r="49" spans="1:7" x14ac:dyDescent="0.35">
      <c r="A49" s="1">
        <v>46108</v>
      </c>
      <c r="B49" s="2">
        <f>_xlfn.XLOOKUP(Journal_Entries[[#This Row],[Account]],'Chart Of Accounts'!E:E,'Chart Of Accounts'!D:D)</f>
        <v>1000</v>
      </c>
      <c r="C49" t="s">
        <v>83</v>
      </c>
      <c r="D49" t="s">
        <v>132</v>
      </c>
      <c r="E49">
        <v>23</v>
      </c>
      <c r="F49" s="8">
        <v>320.60000000000002</v>
      </c>
    </row>
    <row r="50" spans="1:7" x14ac:dyDescent="0.35">
      <c r="A50" s="1">
        <v>46108</v>
      </c>
      <c r="B50" s="2">
        <f>_xlfn.XLOOKUP(Journal_Entries[[#This Row],[Account]],'Chart Of Accounts'!E:E,'Chart Of Accounts'!D:D)</f>
        <v>1100</v>
      </c>
      <c r="C50" t="s">
        <v>99</v>
      </c>
      <c r="D50" t="s">
        <v>128</v>
      </c>
      <c r="E50">
        <v>23</v>
      </c>
      <c r="G50" s="8">
        <v>320.60000000000002</v>
      </c>
    </row>
    <row r="51" spans="1:7" x14ac:dyDescent="0.35">
      <c r="A51" s="1">
        <v>46110</v>
      </c>
      <c r="B51" s="2">
        <f>_xlfn.XLOOKUP(Journal_Entries[[#This Row],[Account]],'Chart Of Accounts'!E:E,'Chart Of Accounts'!D:D)</f>
        <v>1000</v>
      </c>
      <c r="C51" t="s">
        <v>83</v>
      </c>
      <c r="D51" t="s">
        <v>133</v>
      </c>
      <c r="E51">
        <v>24</v>
      </c>
      <c r="G51" s="8">
        <v>158.75</v>
      </c>
    </row>
    <row r="52" spans="1:7" x14ac:dyDescent="0.35">
      <c r="A52" s="1">
        <v>46110</v>
      </c>
      <c r="B52" s="2">
        <f>_xlfn.XLOOKUP(Journal_Entries[[#This Row],[Account]],'Chart Of Accounts'!E:E,'Chart Of Accounts'!D:D)</f>
        <v>2000</v>
      </c>
      <c r="C52" t="s">
        <v>84</v>
      </c>
      <c r="D52" t="s">
        <v>130</v>
      </c>
      <c r="E52">
        <v>24</v>
      </c>
      <c r="F52" s="8">
        <v>158.75</v>
      </c>
    </row>
    <row r="53" spans="1:7" x14ac:dyDescent="0.35">
      <c r="A53" t="s">
        <v>134</v>
      </c>
      <c r="F53" s="8">
        <f>SUBTOTAL(109,Journal_Entries[Debit])</f>
        <v>4941.4000000000015</v>
      </c>
      <c r="G53" s="8">
        <f>SUBTOTAL(109,Journal_Entries[Credit])</f>
        <v>4941.4000000000015</v>
      </c>
    </row>
  </sheetData>
  <mergeCells count="1">
    <mergeCell ref="A1:G1"/>
  </mergeCells>
  <pageMargins left="0.7" right="0.7" top="0.75" bottom="0.75" header="0.3" footer="0.3"/>
  <ignoredErrors>
    <ignoredError sqref="B10:B11" calculatedColumn="1"/>
  </ignoredErrors>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AEFCF8-E672-41AD-9D4D-E2BA668A7A4C}">
          <x14:formula1>
            <xm:f>'Chart Of Accounts'!$E$4:$E$11</xm:f>
          </x14:formula1>
          <xm:sqref>C3:C52 C54:C1048576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6ABE-F726-435B-B9A7-E19580661C32}">
  <dimension ref="A1:I7"/>
  <sheetViews>
    <sheetView workbookViewId="0">
      <selection activeCell="C7" sqref="C7"/>
    </sheetView>
  </sheetViews>
  <sheetFormatPr defaultRowHeight="14.5" x14ac:dyDescent="0.35"/>
  <cols>
    <col min="1" max="1" width="9.08984375" bestFit="1" customWidth="1"/>
    <col min="2" max="2" width="8.36328125" bestFit="1" customWidth="1"/>
    <col min="3" max="3" width="16.36328125" bestFit="1" customWidth="1"/>
    <col min="4" max="4" width="9.6328125" bestFit="1" customWidth="1"/>
    <col min="5" max="5" width="17.26953125" bestFit="1" customWidth="1"/>
    <col min="6" max="6" width="23.08984375" bestFit="1" customWidth="1"/>
    <col min="7" max="7" width="21.26953125" bestFit="1" customWidth="1"/>
    <col min="8" max="8" width="19.6328125" bestFit="1" customWidth="1"/>
    <col min="9" max="9" width="18.1796875" bestFit="1" customWidth="1"/>
  </cols>
  <sheetData>
    <row r="1" spans="1:9" x14ac:dyDescent="0.35">
      <c r="A1" t="s">
        <v>0</v>
      </c>
      <c r="B1" t="s">
        <v>63</v>
      </c>
      <c r="C1" t="s">
        <v>1</v>
      </c>
      <c r="D1" t="s">
        <v>2</v>
      </c>
      <c r="E1" t="s">
        <v>26</v>
      </c>
      <c r="F1" t="s">
        <v>67</v>
      </c>
      <c r="G1" t="s">
        <v>68</v>
      </c>
      <c r="H1" t="s">
        <v>69</v>
      </c>
      <c r="I1" t="s">
        <v>70</v>
      </c>
    </row>
    <row r="2" spans="1:9" x14ac:dyDescent="0.35">
      <c r="A2" s="1">
        <v>46029</v>
      </c>
      <c r="B2" s="2" t="s">
        <v>64</v>
      </c>
      <c r="C2" s="2" t="s">
        <v>46</v>
      </c>
      <c r="D2">
        <v>185</v>
      </c>
      <c r="E2" t="s">
        <v>29</v>
      </c>
      <c r="F2" s="1">
        <v>46025</v>
      </c>
      <c r="G2" s="2" t="s">
        <v>46</v>
      </c>
      <c r="H2">
        <v>185</v>
      </c>
      <c r="I2">
        <v>4</v>
      </c>
    </row>
    <row r="3" spans="1:9" x14ac:dyDescent="0.35">
      <c r="A3" s="1">
        <v>46044</v>
      </c>
      <c r="B3" s="2" t="s">
        <v>64</v>
      </c>
      <c r="C3" s="2" t="s">
        <v>49</v>
      </c>
      <c r="D3">
        <v>210.75</v>
      </c>
      <c r="E3" t="s">
        <v>29</v>
      </c>
      <c r="F3" s="1">
        <v>46040</v>
      </c>
      <c r="G3" s="2" t="s">
        <v>49</v>
      </c>
      <c r="H3">
        <v>210.75</v>
      </c>
      <c r="I3">
        <v>4</v>
      </c>
    </row>
    <row r="4" spans="1:9" x14ac:dyDescent="0.35">
      <c r="A4" s="1">
        <v>46060</v>
      </c>
      <c r="B4" s="2" t="s">
        <v>65</v>
      </c>
      <c r="C4" s="2" t="s">
        <v>51</v>
      </c>
      <c r="D4">
        <v>240</v>
      </c>
      <c r="E4" t="s">
        <v>29</v>
      </c>
      <c r="F4" s="1">
        <v>46057</v>
      </c>
      <c r="G4" s="2" t="s">
        <v>51</v>
      </c>
      <c r="H4">
        <v>240</v>
      </c>
      <c r="I4">
        <v>3</v>
      </c>
    </row>
    <row r="5" spans="1:9" x14ac:dyDescent="0.35">
      <c r="A5" s="1">
        <v>46076</v>
      </c>
      <c r="B5" s="2" t="s">
        <v>65</v>
      </c>
      <c r="C5" s="2" t="s">
        <v>53</v>
      </c>
      <c r="D5">
        <v>165.5</v>
      </c>
      <c r="E5" t="s">
        <v>29</v>
      </c>
      <c r="F5" s="1">
        <v>46073</v>
      </c>
      <c r="G5" s="2" t="s">
        <v>53</v>
      </c>
      <c r="H5">
        <v>165.5</v>
      </c>
      <c r="I5">
        <v>3</v>
      </c>
    </row>
    <row r="6" spans="1:9" x14ac:dyDescent="0.35">
      <c r="A6" s="1">
        <v>46091</v>
      </c>
      <c r="B6" s="2" t="s">
        <v>66</v>
      </c>
      <c r="C6" s="2" t="s">
        <v>55</v>
      </c>
      <c r="D6">
        <v>275.25</v>
      </c>
      <c r="E6" t="s">
        <v>29</v>
      </c>
      <c r="F6" s="1">
        <v>46086</v>
      </c>
      <c r="G6" s="2" t="s">
        <v>55</v>
      </c>
      <c r="H6">
        <v>275.25</v>
      </c>
      <c r="I6">
        <v>5</v>
      </c>
    </row>
    <row r="7" spans="1:9" x14ac:dyDescent="0.35">
      <c r="A7" s="1">
        <v>46108</v>
      </c>
      <c r="B7" s="2" t="s">
        <v>66</v>
      </c>
      <c r="C7" s="2" t="s">
        <v>57</v>
      </c>
      <c r="D7">
        <v>320.60000000000002</v>
      </c>
      <c r="E7" t="s">
        <v>29</v>
      </c>
      <c r="F7" s="1">
        <v>46103</v>
      </c>
      <c r="G7" s="2" t="s">
        <v>57</v>
      </c>
      <c r="H7">
        <v>320.60000000000002</v>
      </c>
      <c r="I7">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1876-DAF4-4B15-BB05-1CD206F1C5DB}">
  <dimension ref="A1:I7"/>
  <sheetViews>
    <sheetView workbookViewId="0">
      <selection activeCell="A3" sqref="A3:XFD3"/>
    </sheetView>
  </sheetViews>
  <sheetFormatPr defaultRowHeight="14.5" x14ac:dyDescent="0.35"/>
  <cols>
    <col min="1" max="1" width="9.08984375" bestFit="1" customWidth="1"/>
    <col min="2" max="2" width="8.36328125" bestFit="1" customWidth="1"/>
    <col min="3" max="3" width="19.7265625" bestFit="1" customWidth="1"/>
    <col min="4" max="4" width="9.6328125" bestFit="1" customWidth="1"/>
    <col min="5" max="5" width="17.26953125" bestFit="1" customWidth="1"/>
    <col min="6" max="6" width="20.453125" bestFit="1" customWidth="1"/>
    <col min="7" max="7" width="19.7265625" bestFit="1" customWidth="1"/>
    <col min="8" max="8" width="16.90625" bestFit="1" customWidth="1"/>
    <col min="9" max="9" width="18.1796875" bestFit="1" customWidth="1"/>
  </cols>
  <sheetData>
    <row r="1" spans="1:9" x14ac:dyDescent="0.35">
      <c r="A1" t="s">
        <v>0</v>
      </c>
      <c r="B1" t="s">
        <v>63</v>
      </c>
      <c r="C1" t="s">
        <v>1</v>
      </c>
      <c r="D1" t="s">
        <v>2</v>
      </c>
      <c r="E1" t="s">
        <v>26</v>
      </c>
      <c r="F1" t="s">
        <v>71</v>
      </c>
      <c r="G1" t="s">
        <v>72</v>
      </c>
      <c r="H1" t="s">
        <v>73</v>
      </c>
      <c r="I1" t="s">
        <v>70</v>
      </c>
    </row>
    <row r="2" spans="1:9" x14ac:dyDescent="0.35">
      <c r="A2" s="1">
        <v>46032</v>
      </c>
      <c r="B2" s="2" t="s">
        <v>64</v>
      </c>
      <c r="C2" s="2" t="s">
        <v>30</v>
      </c>
      <c r="D2">
        <v>-118.5</v>
      </c>
      <c r="E2" t="s">
        <v>31</v>
      </c>
      <c r="F2" s="1">
        <v>46027</v>
      </c>
      <c r="G2" s="2" t="s">
        <v>30</v>
      </c>
      <c r="H2">
        <v>-118.5</v>
      </c>
      <c r="I2">
        <v>5</v>
      </c>
    </row>
    <row r="3" spans="1:9" x14ac:dyDescent="0.35">
      <c r="A3" s="1">
        <v>46047</v>
      </c>
      <c r="B3" s="2" t="s">
        <v>64</v>
      </c>
      <c r="C3" s="2" t="s">
        <v>32</v>
      </c>
      <c r="D3">
        <v>-95.25</v>
      </c>
      <c r="E3" t="s">
        <v>31</v>
      </c>
      <c r="F3" s="1">
        <v>46044</v>
      </c>
      <c r="G3" s="2" t="s">
        <v>32</v>
      </c>
      <c r="H3">
        <v>-95.25</v>
      </c>
      <c r="I3">
        <v>3</v>
      </c>
    </row>
    <row r="4" spans="1:9" x14ac:dyDescent="0.35">
      <c r="A4" s="1">
        <v>46063</v>
      </c>
      <c r="B4" s="2" t="s">
        <v>65</v>
      </c>
      <c r="C4" s="2" t="s">
        <v>33</v>
      </c>
      <c r="D4">
        <v>-142.80000000000001</v>
      </c>
      <c r="E4" t="s">
        <v>31</v>
      </c>
      <c r="F4" s="1">
        <v>46059</v>
      </c>
      <c r="G4" s="2" t="s">
        <v>33</v>
      </c>
      <c r="H4">
        <v>-142.80000000000001</v>
      </c>
      <c r="I4">
        <v>4</v>
      </c>
    </row>
    <row r="5" spans="1:9" x14ac:dyDescent="0.35">
      <c r="A5" s="1">
        <v>46079</v>
      </c>
      <c r="B5" s="2" t="s">
        <v>65</v>
      </c>
      <c r="C5" s="2" t="s">
        <v>34</v>
      </c>
      <c r="D5">
        <v>-165.9</v>
      </c>
      <c r="E5" t="s">
        <v>31</v>
      </c>
      <c r="F5" s="1">
        <v>46078</v>
      </c>
      <c r="G5" s="2" t="s">
        <v>34</v>
      </c>
      <c r="H5">
        <v>-165.9</v>
      </c>
      <c r="I5">
        <v>1</v>
      </c>
    </row>
    <row r="6" spans="1:9" x14ac:dyDescent="0.35">
      <c r="A6" s="1">
        <v>46093</v>
      </c>
      <c r="B6" s="2" t="s">
        <v>66</v>
      </c>
      <c r="C6" s="2" t="s">
        <v>35</v>
      </c>
      <c r="D6">
        <v>-132.4</v>
      </c>
      <c r="E6" t="s">
        <v>31</v>
      </c>
      <c r="F6" s="1">
        <v>46089</v>
      </c>
      <c r="G6" s="2" t="s">
        <v>35</v>
      </c>
      <c r="H6">
        <v>-132.4</v>
      </c>
      <c r="I6">
        <v>4</v>
      </c>
    </row>
    <row r="7" spans="1:9" x14ac:dyDescent="0.35">
      <c r="A7" s="1">
        <v>46110</v>
      </c>
      <c r="B7" s="2" t="s">
        <v>66</v>
      </c>
      <c r="C7" s="2" t="s">
        <v>36</v>
      </c>
      <c r="D7">
        <v>-158.75</v>
      </c>
      <c r="E7" t="s">
        <v>31</v>
      </c>
      <c r="F7" s="1">
        <v>46106</v>
      </c>
      <c r="G7" s="2" t="s">
        <v>36</v>
      </c>
      <c r="H7">
        <v>-158.75</v>
      </c>
      <c r="I7">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807B-426C-4309-9667-700C08F80323}">
  <dimension ref="C2:F11"/>
  <sheetViews>
    <sheetView workbookViewId="0">
      <selection activeCell="F7" sqref="F7"/>
    </sheetView>
  </sheetViews>
  <sheetFormatPr defaultRowHeight="14.5" x14ac:dyDescent="0.35"/>
  <cols>
    <col min="2" max="2" width="13.7265625" customWidth="1"/>
    <col min="3" max="3" width="13.6328125" customWidth="1"/>
    <col min="4" max="4" width="5.81640625" customWidth="1"/>
    <col min="5" max="5" width="19.453125" customWidth="1"/>
    <col min="6" max="8" width="10.453125" customWidth="1"/>
  </cols>
  <sheetData>
    <row r="2" spans="3:6" ht="21" x14ac:dyDescent="0.5">
      <c r="C2" s="14" t="s">
        <v>80</v>
      </c>
      <c r="D2" s="15"/>
      <c r="E2" s="15"/>
    </row>
    <row r="3" spans="3:6" x14ac:dyDescent="0.35">
      <c r="C3" t="s">
        <v>82</v>
      </c>
      <c r="D3" s="3" t="s">
        <v>79</v>
      </c>
      <c r="E3" s="4" t="s">
        <v>90</v>
      </c>
      <c r="F3" t="s">
        <v>157</v>
      </c>
    </row>
    <row r="4" spans="3:6" x14ac:dyDescent="0.35">
      <c r="D4">
        <v>1000</v>
      </c>
      <c r="E4" s="4" t="s">
        <v>83</v>
      </c>
      <c r="F4">
        <v>1</v>
      </c>
    </row>
    <row r="5" spans="3:6" x14ac:dyDescent="0.35">
      <c r="C5" t="s">
        <v>74</v>
      </c>
      <c r="D5">
        <v>1100</v>
      </c>
      <c r="E5" s="4" t="s">
        <v>99</v>
      </c>
      <c r="F5">
        <v>1</v>
      </c>
    </row>
    <row r="6" spans="3:6" x14ac:dyDescent="0.35">
      <c r="C6" t="s">
        <v>81</v>
      </c>
      <c r="D6" s="5">
        <v>2000</v>
      </c>
      <c r="E6" s="4" t="s">
        <v>84</v>
      </c>
      <c r="F6">
        <v>2</v>
      </c>
    </row>
    <row r="7" spans="3:6" x14ac:dyDescent="0.35">
      <c r="C7" t="s">
        <v>75</v>
      </c>
      <c r="D7" s="5">
        <v>3000</v>
      </c>
      <c r="E7" s="4" t="s">
        <v>85</v>
      </c>
      <c r="F7">
        <v>3</v>
      </c>
    </row>
    <row r="8" spans="3:6" x14ac:dyDescent="0.35">
      <c r="C8" t="s">
        <v>76</v>
      </c>
      <c r="D8" s="5">
        <v>4000</v>
      </c>
      <c r="E8" s="4" t="s">
        <v>86</v>
      </c>
      <c r="F8">
        <v>4</v>
      </c>
    </row>
    <row r="9" spans="3:6" x14ac:dyDescent="0.35">
      <c r="C9" t="s">
        <v>77</v>
      </c>
      <c r="D9" s="5">
        <v>5000</v>
      </c>
      <c r="E9" s="4" t="s">
        <v>89</v>
      </c>
      <c r="F9">
        <v>5</v>
      </c>
    </row>
    <row r="10" spans="3:6" x14ac:dyDescent="0.35">
      <c r="D10" s="5">
        <v>5100</v>
      </c>
      <c r="E10" s="4" t="s">
        <v>87</v>
      </c>
      <c r="F10">
        <v>5</v>
      </c>
    </row>
    <row r="11" spans="3:6" x14ac:dyDescent="0.35">
      <c r="D11" s="5">
        <v>5200</v>
      </c>
      <c r="E11" s="4" t="s">
        <v>88</v>
      </c>
      <c r="F11">
        <v>5</v>
      </c>
    </row>
  </sheetData>
  <mergeCells count="1">
    <mergeCell ref="C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7DBEF-B06F-4C78-BFC1-D7C6CFC914DD}">
  <dimension ref="A1:H9"/>
  <sheetViews>
    <sheetView workbookViewId="0">
      <selection activeCell="A7" sqref="A7:XFD7"/>
    </sheetView>
  </sheetViews>
  <sheetFormatPr defaultRowHeight="14.5" x14ac:dyDescent="0.35"/>
  <cols>
    <col min="1" max="1" width="11" bestFit="1" customWidth="1"/>
    <col min="2" max="2" width="13.08984375" bestFit="1" customWidth="1"/>
    <col min="3" max="3" width="8.36328125" bestFit="1" customWidth="1"/>
    <col min="4" max="4" width="16.36328125" bestFit="1" customWidth="1"/>
    <col min="5" max="5" width="15.7265625" bestFit="1" customWidth="1"/>
    <col min="6" max="6" width="9.6328125" bestFit="1" customWidth="1"/>
    <col min="7" max="7" width="8.453125" bestFit="1" customWidth="1"/>
    <col min="8" max="8" width="8.7265625" customWidth="1"/>
  </cols>
  <sheetData>
    <row r="1" spans="1:8" x14ac:dyDescent="0.35">
      <c r="A1" t="s">
        <v>3</v>
      </c>
      <c r="B1" t="s">
        <v>4</v>
      </c>
      <c r="C1" t="s">
        <v>63</v>
      </c>
      <c r="D1" t="s">
        <v>16</v>
      </c>
      <c r="E1" t="s">
        <v>17</v>
      </c>
      <c r="F1" t="s">
        <v>2</v>
      </c>
      <c r="G1" t="s">
        <v>7</v>
      </c>
      <c r="H1" t="s">
        <v>45</v>
      </c>
    </row>
    <row r="2" spans="1:8" x14ac:dyDescent="0.35">
      <c r="A2" s="2" t="s">
        <v>18</v>
      </c>
      <c r="B2" s="1">
        <v>46025</v>
      </c>
      <c r="C2" s="2" t="s">
        <v>64</v>
      </c>
      <c r="D2" s="2" t="s">
        <v>46</v>
      </c>
      <c r="E2" s="2" t="s">
        <v>47</v>
      </c>
      <c r="F2">
        <v>185</v>
      </c>
      <c r="G2" s="2" t="s">
        <v>38</v>
      </c>
      <c r="H2" t="s">
        <v>48</v>
      </c>
    </row>
    <row r="3" spans="1:8" x14ac:dyDescent="0.35">
      <c r="A3" s="2" t="s">
        <v>19</v>
      </c>
      <c r="B3" s="1">
        <v>46040</v>
      </c>
      <c r="C3" s="2" t="s">
        <v>64</v>
      </c>
      <c r="D3" s="2" t="s">
        <v>49</v>
      </c>
      <c r="E3" s="2" t="s">
        <v>50</v>
      </c>
      <c r="F3">
        <v>210.75</v>
      </c>
      <c r="G3" s="2" t="s">
        <v>38</v>
      </c>
      <c r="H3" t="s">
        <v>48</v>
      </c>
    </row>
    <row r="4" spans="1:8" x14ac:dyDescent="0.35">
      <c r="A4" s="2" t="s">
        <v>20</v>
      </c>
      <c r="B4" s="1">
        <v>46057</v>
      </c>
      <c r="C4" s="2" t="s">
        <v>65</v>
      </c>
      <c r="D4" s="2" t="s">
        <v>51</v>
      </c>
      <c r="E4" s="2" t="s">
        <v>52</v>
      </c>
      <c r="F4">
        <v>240</v>
      </c>
      <c r="G4" s="2" t="s">
        <v>38</v>
      </c>
      <c r="H4" t="s">
        <v>48</v>
      </c>
    </row>
    <row r="5" spans="1:8" x14ac:dyDescent="0.35">
      <c r="A5" s="2" t="s">
        <v>21</v>
      </c>
      <c r="B5" s="1">
        <v>46073</v>
      </c>
      <c r="C5" s="2" t="s">
        <v>65</v>
      </c>
      <c r="D5" s="2" t="s">
        <v>53</v>
      </c>
      <c r="E5" s="2" t="s">
        <v>54</v>
      </c>
      <c r="F5">
        <v>165.5</v>
      </c>
      <c r="G5" s="2" t="s">
        <v>38</v>
      </c>
      <c r="H5" t="s">
        <v>48</v>
      </c>
    </row>
    <row r="6" spans="1:8" x14ac:dyDescent="0.35">
      <c r="A6" s="2" t="s">
        <v>22</v>
      </c>
      <c r="B6" s="1">
        <v>46086</v>
      </c>
      <c r="C6" s="2" t="s">
        <v>66</v>
      </c>
      <c r="D6" s="2" t="s">
        <v>55</v>
      </c>
      <c r="E6" s="2" t="s">
        <v>56</v>
      </c>
      <c r="F6">
        <v>275.25</v>
      </c>
      <c r="G6" s="2" t="s">
        <v>38</v>
      </c>
      <c r="H6" t="s">
        <v>48</v>
      </c>
    </row>
    <row r="7" spans="1:8" x14ac:dyDescent="0.35">
      <c r="A7" s="2" t="s">
        <v>23</v>
      </c>
      <c r="B7" s="1">
        <v>46103</v>
      </c>
      <c r="C7" s="2" t="s">
        <v>66</v>
      </c>
      <c r="D7" s="2" t="s">
        <v>57</v>
      </c>
      <c r="E7" s="2" t="s">
        <v>58</v>
      </c>
      <c r="F7">
        <v>320.60000000000002</v>
      </c>
      <c r="G7" s="2" t="s">
        <v>38</v>
      </c>
      <c r="H7" t="s">
        <v>48</v>
      </c>
    </row>
    <row r="8" spans="1:8" x14ac:dyDescent="0.35">
      <c r="A8" s="2" t="s">
        <v>24</v>
      </c>
      <c r="B8" s="1">
        <v>46109</v>
      </c>
      <c r="C8" s="2" t="s">
        <v>66</v>
      </c>
      <c r="D8" s="2" t="s">
        <v>59</v>
      </c>
      <c r="E8" s="2" t="s">
        <v>60</v>
      </c>
      <c r="F8">
        <v>145.35</v>
      </c>
      <c r="G8" s="2" t="s">
        <v>43</v>
      </c>
      <c r="H8" t="s">
        <v>48</v>
      </c>
    </row>
    <row r="9" spans="1:8" x14ac:dyDescent="0.35">
      <c r="A9" s="2" t="s">
        <v>25</v>
      </c>
      <c r="B9" s="1">
        <v>46081</v>
      </c>
      <c r="C9" s="2" t="s">
        <v>65</v>
      </c>
      <c r="D9" s="2" t="s">
        <v>61</v>
      </c>
      <c r="E9" s="2" t="s">
        <v>62</v>
      </c>
      <c r="F9">
        <v>130.80000000000001</v>
      </c>
      <c r="G9" s="2" t="s">
        <v>43</v>
      </c>
      <c r="H9" t="s">
        <v>48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C7CF-FEC2-44AA-BE02-704829980E21}">
  <dimension ref="A1:H9"/>
  <sheetViews>
    <sheetView workbookViewId="0">
      <selection activeCell="A6" sqref="A6:XFD6"/>
    </sheetView>
  </sheetViews>
  <sheetFormatPr defaultRowHeight="14.5" x14ac:dyDescent="0.35"/>
  <cols>
    <col min="1" max="1" width="11" bestFit="1" customWidth="1"/>
    <col min="2" max="2" width="13.08984375" bestFit="1" customWidth="1"/>
    <col min="3" max="3" width="8.36328125" bestFit="1" customWidth="1"/>
    <col min="4" max="4" width="19.7265625" bestFit="1" customWidth="1"/>
    <col min="5" max="5" width="14" bestFit="1" customWidth="1"/>
    <col min="6" max="6" width="9.6328125" bestFit="1" customWidth="1"/>
    <col min="7" max="7" width="8.453125" bestFit="1" customWidth="1"/>
    <col min="8" max="8" width="8.90625" customWidth="1"/>
  </cols>
  <sheetData>
    <row r="1" spans="1:8" x14ac:dyDescent="0.35">
      <c r="A1" t="s">
        <v>3</v>
      </c>
      <c r="B1" t="s">
        <v>4</v>
      </c>
      <c r="C1" t="s">
        <v>63</v>
      </c>
      <c r="D1" t="s">
        <v>5</v>
      </c>
      <c r="E1" t="s">
        <v>6</v>
      </c>
      <c r="F1" t="s">
        <v>2</v>
      </c>
      <c r="G1" t="s">
        <v>7</v>
      </c>
      <c r="H1" t="s">
        <v>27</v>
      </c>
    </row>
    <row r="2" spans="1:8" x14ac:dyDescent="0.35">
      <c r="A2" s="2" t="s">
        <v>8</v>
      </c>
      <c r="B2" s="1">
        <v>46027</v>
      </c>
      <c r="C2" s="2" t="s">
        <v>64</v>
      </c>
      <c r="D2" s="2" t="s">
        <v>30</v>
      </c>
      <c r="E2" s="2" t="s">
        <v>37</v>
      </c>
      <c r="F2">
        <v>-118.5</v>
      </c>
      <c r="G2" s="2" t="s">
        <v>38</v>
      </c>
      <c r="H2" t="s">
        <v>39</v>
      </c>
    </row>
    <row r="3" spans="1:8" x14ac:dyDescent="0.35">
      <c r="A3" s="2" t="s">
        <v>9</v>
      </c>
      <c r="B3" s="1">
        <v>46044</v>
      </c>
      <c r="C3" s="2" t="s">
        <v>64</v>
      </c>
      <c r="D3" s="2" t="s">
        <v>32</v>
      </c>
      <c r="E3" s="2" t="s">
        <v>40</v>
      </c>
      <c r="F3">
        <v>-95.25</v>
      </c>
      <c r="G3" s="2" t="s">
        <v>38</v>
      </c>
      <c r="H3" t="s">
        <v>39</v>
      </c>
    </row>
    <row r="4" spans="1:8" x14ac:dyDescent="0.35">
      <c r="A4" s="2" t="s">
        <v>10</v>
      </c>
      <c r="B4" s="1">
        <v>46059</v>
      </c>
      <c r="C4" s="2" t="s">
        <v>65</v>
      </c>
      <c r="D4" s="2" t="s">
        <v>33</v>
      </c>
      <c r="E4" s="2" t="s">
        <v>37</v>
      </c>
      <c r="F4">
        <v>-142.80000000000001</v>
      </c>
      <c r="G4" s="2" t="s">
        <v>38</v>
      </c>
      <c r="H4" t="s">
        <v>39</v>
      </c>
    </row>
    <row r="5" spans="1:8" x14ac:dyDescent="0.35">
      <c r="A5" s="2" t="s">
        <v>11</v>
      </c>
      <c r="B5" s="1">
        <v>46078</v>
      </c>
      <c r="C5" s="2" t="s">
        <v>65</v>
      </c>
      <c r="D5" s="2" t="s">
        <v>34</v>
      </c>
      <c r="E5" s="2" t="s">
        <v>41</v>
      </c>
      <c r="F5">
        <v>-165.9</v>
      </c>
      <c r="G5" s="2" t="s">
        <v>38</v>
      </c>
      <c r="H5" t="s">
        <v>39</v>
      </c>
    </row>
    <row r="6" spans="1:8" x14ac:dyDescent="0.35">
      <c r="A6" s="2" t="s">
        <v>12</v>
      </c>
      <c r="B6" s="1">
        <v>46089</v>
      </c>
      <c r="C6" s="2" t="s">
        <v>66</v>
      </c>
      <c r="D6" s="2" t="s">
        <v>35</v>
      </c>
      <c r="E6" s="2" t="s">
        <v>37</v>
      </c>
      <c r="F6">
        <v>-132.4</v>
      </c>
      <c r="G6" s="2" t="s">
        <v>38</v>
      </c>
      <c r="H6" t="s">
        <v>39</v>
      </c>
    </row>
    <row r="7" spans="1:8" x14ac:dyDescent="0.35">
      <c r="A7" s="2" t="s">
        <v>13</v>
      </c>
      <c r="B7" s="1">
        <v>46106</v>
      </c>
      <c r="C7" s="2" t="s">
        <v>66</v>
      </c>
      <c r="D7" s="2" t="s">
        <v>36</v>
      </c>
      <c r="E7" s="2" t="s">
        <v>37</v>
      </c>
      <c r="F7">
        <v>-158.75</v>
      </c>
      <c r="G7" s="2" t="s">
        <v>38</v>
      </c>
      <c r="H7" t="s">
        <v>39</v>
      </c>
    </row>
    <row r="8" spans="1:8" x14ac:dyDescent="0.35">
      <c r="A8" s="2" t="s">
        <v>14</v>
      </c>
      <c r="B8" s="1">
        <v>46109</v>
      </c>
      <c r="C8" s="2" t="s">
        <v>66</v>
      </c>
      <c r="D8" s="2" t="s">
        <v>42</v>
      </c>
      <c r="E8" s="2" t="s">
        <v>40</v>
      </c>
      <c r="F8">
        <v>-110.6</v>
      </c>
      <c r="G8" s="2" t="s">
        <v>43</v>
      </c>
      <c r="H8" t="s">
        <v>39</v>
      </c>
    </row>
    <row r="9" spans="1:8" x14ac:dyDescent="0.35">
      <c r="A9" s="2" t="s">
        <v>15</v>
      </c>
      <c r="B9" s="1">
        <v>46081</v>
      </c>
      <c r="C9" s="2" t="s">
        <v>65</v>
      </c>
      <c r="D9" s="2" t="s">
        <v>44</v>
      </c>
      <c r="E9" s="2" t="s">
        <v>37</v>
      </c>
      <c r="F9">
        <v>-126.45</v>
      </c>
      <c r="G9" s="2" t="s">
        <v>43</v>
      </c>
      <c r="H9"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29B68A-4D41-4F5F-B6B2-D0B4E4E366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Bank_Statatement</vt:lpstr>
      <vt:lpstr>Ledger</vt:lpstr>
      <vt:lpstr>Journal Entries</vt:lpstr>
      <vt:lpstr>Receivable_Reconcile</vt:lpstr>
      <vt:lpstr>Payable_Reconcile</vt:lpstr>
      <vt:lpstr>Chart Of Accounts</vt:lpstr>
      <vt:lpstr>Recievable</vt:lpstr>
      <vt:lpstr>Payable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bewater</dc:creator>
  <cp:lastModifiedBy>bewater</cp:lastModifiedBy>
  <dcterms:created xsi:type="dcterms:W3CDTF">2026-04-29T22:17:00Z</dcterms:created>
  <dcterms:modified xsi:type="dcterms:W3CDTF">2026-05-11T23:32:42Z</dcterms:modified>
</cp:coreProperties>
</file>